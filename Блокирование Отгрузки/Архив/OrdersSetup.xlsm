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MyData\apyatkov\Visual Studio Projects\$GateWay\Блокирование Отгрузки\"/>
    </mc:Choice>
  </mc:AlternateContent>
  <bookViews>
    <workbookView xWindow="0" yWindow="0" windowWidth="25200" windowHeight="11985"/>
  </bookViews>
  <sheets>
    <sheet name="Клиенты" sheetId="1" r:id="rId1"/>
    <sheet name="Контракты" sheetId="9" r:id="rId2"/>
    <sheet name="Продукты" sheetId="7" r:id="rId3"/>
    <sheet name="Списки" sheetId="6" r:id="rId4"/>
    <sheet name="Письмо" sheetId="8" r:id="rId5"/>
    <sheet name="Письмо2" sheetId="13" r:id="rId6"/>
    <sheet name="Инструкция" sheetId="10" r:id="rId7"/>
    <sheet name="Сводная" sheetId="11" r:id="rId8"/>
  </sheets>
  <definedNames>
    <definedName name="БЕ">Списки!$A$2:$A$5</definedName>
    <definedName name="Доставка">Списки!$C$2:$C$5</definedName>
    <definedName name="Клиент">Клиенты[Клиент]</definedName>
    <definedName name="Менеджеры">Списки!$G$2:$G$15</definedName>
    <definedName name="Продукт">Продукты[Продукт]</definedName>
    <definedName name="Продукт_">OFFSET(Продукты[БЕ],MATCH(Контракты!$A1,Продукты[БЕ],0)-1,1,COUNTIF(Продукты[БЕ],Контракты!$A1),1)</definedName>
    <definedName name="Экспедитор">Списки!$E$2:$E$14</definedName>
  </definedNames>
  <calcPr calcId="152511" refMode="R1C1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2" i="9" l="1"/>
  <c r="G49" i="1"/>
  <c r="D215" i="9" l="1"/>
  <c r="G100" i="1"/>
  <c r="D115" i="9" l="1"/>
  <c r="G220" i="1" l="1"/>
  <c r="D9" i="9"/>
  <c r="D455" i="9" l="1"/>
  <c r="G16" i="1"/>
  <c r="D454" i="9" l="1"/>
  <c r="G163" i="1"/>
  <c r="G107" i="1" l="1"/>
  <c r="D246" i="9"/>
  <c r="G115" i="1"/>
  <c r="D67" i="9" l="1"/>
  <c r="G23" i="1"/>
  <c r="D111" i="9" l="1"/>
  <c r="D110" i="9"/>
  <c r="D109" i="9"/>
  <c r="G45" i="1"/>
  <c r="D313" i="9" l="1"/>
  <c r="G153" i="1"/>
  <c r="D192" i="9" l="1"/>
  <c r="G84" i="1"/>
  <c r="D37" i="9" l="1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39" i="9" l="1"/>
  <c r="G59" i="1"/>
  <c r="D179" i="9" l="1"/>
  <c r="G74" i="1"/>
  <c r="D85" i="9" l="1"/>
  <c r="G29" i="1"/>
  <c r="D166" i="9" l="1"/>
  <c r="D233" i="9" l="1"/>
  <c r="D154" i="9" l="1"/>
  <c r="D153" i="9"/>
  <c r="D4" i="9" l="1"/>
  <c r="D442" i="9"/>
  <c r="D441" i="9"/>
  <c r="D164" i="9" l="1"/>
  <c r="D165" i="9"/>
  <c r="D184" i="9" l="1"/>
  <c r="D141" i="9" l="1"/>
  <c r="G61" i="1"/>
  <c r="D423" i="9"/>
  <c r="G204" i="1"/>
  <c r="D201" i="9"/>
  <c r="D200" i="9"/>
  <c r="D449" i="9"/>
  <c r="D160" i="9"/>
  <c r="D159" i="9"/>
  <c r="G66" i="1"/>
  <c r="D232" i="9"/>
  <c r="D231" i="9"/>
  <c r="D293" i="9"/>
  <c r="D292" i="9"/>
  <c r="D291" i="9"/>
  <c r="D447" i="9"/>
  <c r="G217" i="1"/>
  <c r="D162" i="9"/>
  <c r="D161" i="9"/>
  <c r="G67" i="1"/>
  <c r="D315" i="9" l="1"/>
  <c r="D314" i="9"/>
  <c r="G154" i="1"/>
  <c r="D407" i="9"/>
  <c r="G192" i="1"/>
  <c r="D289" i="9"/>
  <c r="G141" i="1"/>
  <c r="D402" i="9" l="1"/>
  <c r="D157" i="9"/>
  <c r="D105" i="9" l="1"/>
  <c r="D374" i="9" l="1"/>
  <c r="D310" i="9" l="1"/>
  <c r="D443" i="9" l="1"/>
  <c r="D428" i="9"/>
  <c r="D431" i="9"/>
  <c r="D430" i="9"/>
  <c r="D429" i="9"/>
  <c r="D426" i="9"/>
  <c r="D427" i="9"/>
  <c r="D424" i="9"/>
  <c r="D422" i="9"/>
  <c r="D421" i="9"/>
  <c r="D420" i="9"/>
  <c r="D167" i="9" l="1"/>
  <c r="G69" i="1"/>
  <c r="D168" i="9"/>
  <c r="D107" i="9"/>
  <c r="D108" i="9"/>
  <c r="G44" i="1"/>
  <c r="D119" i="9"/>
  <c r="G51" i="1"/>
  <c r="D287" i="9"/>
  <c r="D265" i="9"/>
  <c r="D264" i="9"/>
  <c r="D266" i="9"/>
  <c r="G126" i="1"/>
  <c r="D340" i="9"/>
  <c r="G165" i="1"/>
  <c r="D49" i="9"/>
  <c r="G162" i="1"/>
  <c r="D330" i="9"/>
  <c r="D5" i="9"/>
  <c r="G3" i="1"/>
  <c r="D343" i="9"/>
  <c r="D66" i="9" l="1"/>
  <c r="D65" i="9"/>
  <c r="G22" i="1"/>
  <c r="D290" i="9" l="1"/>
  <c r="G142" i="1"/>
  <c r="D446" i="9"/>
  <c r="G216" i="1"/>
  <c r="D147" i="9"/>
  <c r="G63" i="1"/>
  <c r="D148" i="9" l="1"/>
  <c r="D132" i="9"/>
  <c r="D129" i="9"/>
  <c r="D133" i="9"/>
  <c r="D128" i="9"/>
  <c r="D127" i="9"/>
  <c r="D131" i="9"/>
  <c r="D130" i="9"/>
  <c r="G56" i="1"/>
  <c r="D285" i="9"/>
  <c r="G138" i="1"/>
  <c r="D286" i="9"/>
  <c r="D301" i="9"/>
  <c r="G146" i="1"/>
  <c r="D356" i="9"/>
  <c r="D355" i="9"/>
  <c r="G177" i="1"/>
  <c r="D275" i="9" l="1"/>
  <c r="D321" i="9"/>
  <c r="D320" i="9"/>
  <c r="D240" i="9"/>
  <c r="D239" i="9"/>
  <c r="D238" i="9"/>
  <c r="D237" i="9"/>
  <c r="D236" i="9"/>
  <c r="D235" i="9"/>
  <c r="D234" i="9"/>
  <c r="D278" i="9"/>
  <c r="D42" i="9"/>
  <c r="D418" i="9" l="1"/>
  <c r="D419" i="9"/>
  <c r="G132" i="1" l="1"/>
  <c r="G157" i="1"/>
  <c r="G110" i="1"/>
  <c r="G2" i="1" l="1"/>
  <c r="G4" i="1"/>
  <c r="G5" i="1"/>
  <c r="G6" i="1"/>
  <c r="G7" i="1"/>
  <c r="G8" i="1"/>
  <c r="G9" i="1"/>
  <c r="G10" i="1"/>
  <c r="G11" i="1"/>
  <c r="G12" i="1"/>
  <c r="G13" i="1"/>
  <c r="G14" i="1"/>
  <c r="G15" i="1"/>
  <c r="G17" i="1"/>
  <c r="G18" i="1"/>
  <c r="G19" i="1"/>
  <c r="G20" i="1"/>
  <c r="G21" i="1"/>
  <c r="G24" i="1"/>
  <c r="G25" i="1"/>
  <c r="G26" i="1"/>
  <c r="G27" i="1"/>
  <c r="G28" i="1"/>
  <c r="G30" i="1"/>
  <c r="G31" i="1"/>
  <c r="G32" i="1"/>
  <c r="G33" i="1"/>
  <c r="G34" i="1"/>
  <c r="G35" i="1"/>
  <c r="G36" i="1"/>
  <c r="G37" i="1"/>
  <c r="G38" i="1"/>
  <c r="G39" i="1"/>
  <c r="G41" i="1"/>
  <c r="G42" i="1"/>
  <c r="G43" i="1"/>
  <c r="G46" i="1"/>
  <c r="G47" i="1"/>
  <c r="G48" i="1"/>
  <c r="G50" i="1"/>
  <c r="G52" i="1"/>
  <c r="G54" i="1"/>
  <c r="G55" i="1"/>
  <c r="G57" i="1"/>
  <c r="G58" i="1"/>
  <c r="G60" i="1"/>
  <c r="G62" i="1"/>
  <c r="G64" i="1"/>
  <c r="G65" i="1"/>
  <c r="G68" i="1"/>
  <c r="G70" i="1"/>
  <c r="G71" i="1"/>
  <c r="G72" i="1"/>
  <c r="G73" i="1"/>
  <c r="G75" i="1"/>
  <c r="G76" i="1"/>
  <c r="G77" i="1"/>
  <c r="G78" i="1"/>
  <c r="G79" i="1"/>
  <c r="G80" i="1"/>
  <c r="G81" i="1"/>
  <c r="G82" i="1"/>
  <c r="G83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8" i="1"/>
  <c r="G109" i="1"/>
  <c r="G111" i="1"/>
  <c r="G112" i="1"/>
  <c r="G113" i="1"/>
  <c r="G114" i="1"/>
  <c r="G116" i="1"/>
  <c r="G117" i="1"/>
  <c r="G118" i="1"/>
  <c r="G119" i="1"/>
  <c r="G120" i="1"/>
  <c r="G121" i="1"/>
  <c r="G122" i="1"/>
  <c r="G123" i="1"/>
  <c r="G124" i="1"/>
  <c r="G125" i="1"/>
  <c r="G127" i="1"/>
  <c r="G128" i="1"/>
  <c r="G129" i="1"/>
  <c r="G130" i="1"/>
  <c r="G131" i="1"/>
  <c r="G133" i="1"/>
  <c r="G134" i="1"/>
  <c r="G135" i="1"/>
  <c r="G136" i="1"/>
  <c r="G137" i="1"/>
  <c r="G139" i="1"/>
  <c r="G140" i="1"/>
  <c r="G143" i="1"/>
  <c r="G144" i="1"/>
  <c r="G145" i="1"/>
  <c r="G147" i="1"/>
  <c r="G148" i="1"/>
  <c r="G149" i="1"/>
  <c r="G150" i="1"/>
  <c r="G151" i="1"/>
  <c r="G152" i="1"/>
  <c r="G155" i="1"/>
  <c r="G156" i="1"/>
  <c r="G158" i="1"/>
  <c r="G159" i="1"/>
  <c r="G160" i="1"/>
  <c r="G161" i="1"/>
  <c r="G164" i="1"/>
  <c r="G166" i="1"/>
  <c r="G167" i="1"/>
  <c r="G168" i="1"/>
  <c r="G169" i="1"/>
  <c r="G40" i="1"/>
  <c r="G171" i="1"/>
  <c r="G172" i="1"/>
  <c r="G173" i="1"/>
  <c r="G174" i="1"/>
  <c r="G175" i="1"/>
  <c r="G176" i="1"/>
  <c r="G178" i="1"/>
  <c r="G179" i="1"/>
  <c r="G180" i="1"/>
  <c r="G181" i="1"/>
  <c r="G182" i="1"/>
  <c r="G183" i="1"/>
  <c r="G185" i="1"/>
  <c r="G186" i="1"/>
  <c r="G187" i="1"/>
  <c r="G188" i="1"/>
  <c r="G189" i="1"/>
  <c r="G190" i="1"/>
  <c r="G191" i="1"/>
  <c r="G193" i="1"/>
  <c r="G194" i="1"/>
  <c r="G195" i="1"/>
  <c r="G196" i="1"/>
  <c r="G197" i="1"/>
  <c r="G198" i="1"/>
  <c r="G199" i="1"/>
  <c r="G200" i="1"/>
  <c r="G201" i="1"/>
  <c r="G202" i="1"/>
  <c r="G203" i="1"/>
  <c r="G205" i="1"/>
  <c r="G206" i="1"/>
  <c r="G207" i="1"/>
  <c r="G208" i="1"/>
  <c r="G209" i="1"/>
  <c r="G210" i="1"/>
  <c r="G211" i="1"/>
  <c r="G212" i="1"/>
  <c r="G213" i="1"/>
  <c r="G214" i="1"/>
  <c r="G215" i="1"/>
  <c r="G218" i="1"/>
  <c r="G219" i="1"/>
  <c r="G170" i="1"/>
  <c r="G53" i="1"/>
  <c r="G184" i="1"/>
  <c r="D6" i="9"/>
  <c r="D7" i="9"/>
  <c r="D8" i="9"/>
  <c r="D10" i="9"/>
  <c r="D38" i="9"/>
  <c r="D43" i="9"/>
  <c r="D44" i="9"/>
  <c r="D45" i="9"/>
  <c r="D50" i="9"/>
  <c r="D53" i="9"/>
  <c r="D59" i="9"/>
  <c r="D60" i="9"/>
  <c r="D75" i="9"/>
  <c r="D76" i="9"/>
  <c r="D87" i="9"/>
  <c r="D88" i="9"/>
  <c r="D89" i="9"/>
  <c r="D90" i="9"/>
  <c r="D92" i="9"/>
  <c r="D101" i="9"/>
  <c r="D103" i="9"/>
  <c r="D104" i="9"/>
  <c r="D113" i="9"/>
  <c r="D118" i="9"/>
  <c r="D120" i="9"/>
  <c r="D122" i="9"/>
  <c r="D123" i="9"/>
  <c r="D124" i="9"/>
  <c r="D125" i="9"/>
  <c r="D126" i="9"/>
  <c r="D140" i="9"/>
  <c r="D145" i="9"/>
  <c r="D146" i="9"/>
  <c r="D150" i="9"/>
  <c r="D163" i="9"/>
  <c r="D177" i="9"/>
  <c r="D178" i="9"/>
  <c r="D180" i="9"/>
  <c r="D181" i="9"/>
  <c r="D186" i="9"/>
  <c r="D187" i="9"/>
  <c r="D189" i="9"/>
  <c r="D190" i="9"/>
  <c r="D191" i="9"/>
  <c r="D193" i="9"/>
  <c r="D205" i="9"/>
  <c r="D206" i="9"/>
  <c r="D207" i="9"/>
  <c r="D208" i="9"/>
  <c r="D210" i="9"/>
  <c r="D213" i="9"/>
  <c r="D226" i="9"/>
  <c r="D227" i="9"/>
  <c r="D228" i="9"/>
  <c r="D229" i="9"/>
  <c r="D230" i="9"/>
  <c r="D241" i="9"/>
  <c r="D252" i="9"/>
  <c r="D254" i="9"/>
  <c r="D255" i="9"/>
  <c r="D260" i="9"/>
  <c r="D261" i="9"/>
  <c r="D262" i="9"/>
  <c r="D267" i="9"/>
  <c r="D268" i="9"/>
  <c r="D269" i="9"/>
  <c r="D270" i="9"/>
  <c r="D281" i="9"/>
  <c r="D282" i="9"/>
  <c r="D284" i="9"/>
  <c r="D288" i="9"/>
  <c r="D303" i="9"/>
  <c r="D318" i="9"/>
  <c r="D327" i="9"/>
  <c r="D331" i="9"/>
  <c r="D333" i="9"/>
  <c r="D334" i="9"/>
  <c r="D335" i="9"/>
  <c r="D336" i="9"/>
  <c r="D102" i="9"/>
  <c r="D345" i="9"/>
  <c r="D346" i="9"/>
  <c r="D357" i="9"/>
  <c r="D358" i="9"/>
  <c r="D367" i="9"/>
  <c r="D368" i="9"/>
  <c r="D369" i="9"/>
  <c r="D370" i="9"/>
  <c r="D371" i="9"/>
  <c r="D372" i="9"/>
  <c r="D373" i="9"/>
  <c r="D396" i="9"/>
  <c r="D397" i="9"/>
  <c r="D398" i="9"/>
  <c r="D404" i="9"/>
  <c r="D408" i="9"/>
  <c r="D409" i="9"/>
  <c r="D411" i="9"/>
  <c r="D412" i="9"/>
  <c r="D413" i="9"/>
  <c r="D414" i="9"/>
  <c r="D415" i="9"/>
  <c r="D417" i="9"/>
  <c r="D425" i="9"/>
  <c r="D432" i="9"/>
  <c r="D436" i="9"/>
  <c r="D439" i="9"/>
  <c r="D440" i="9"/>
  <c r="D445" i="9"/>
  <c r="D448" i="9"/>
  <c r="D450" i="9"/>
  <c r="D451" i="9"/>
  <c r="D452" i="9"/>
  <c r="D453" i="9"/>
  <c r="D344" i="9"/>
  <c r="D297" i="9"/>
  <c r="D359" i="9"/>
  <c r="D296" i="9"/>
  <c r="D329" i="9"/>
  <c r="D433" i="9"/>
  <c r="D438" i="9"/>
  <c r="D434" i="9"/>
  <c r="D298" i="9"/>
  <c r="D360" i="9"/>
  <c r="D435" i="9"/>
  <c r="D299" i="9"/>
  <c r="D188" i="9"/>
  <c r="D437" i="9"/>
  <c r="D251" i="9"/>
  <c r="D250" i="9"/>
  <c r="D69" i="9"/>
  <c r="D155" i="9"/>
  <c r="D381" i="9"/>
  <c r="D70" i="9"/>
  <c r="D307" i="9"/>
  <c r="D247" i="9"/>
  <c r="D220" i="9"/>
  <c r="D306" i="9"/>
  <c r="D317" i="9"/>
  <c r="D382" i="9"/>
  <c r="D73" i="9"/>
  <c r="D311" i="9"/>
  <c r="D444" i="9"/>
  <c r="D316" i="9"/>
  <c r="D341" i="9"/>
  <c r="D405" i="9"/>
  <c r="D170" i="9"/>
  <c r="D248" i="9"/>
  <c r="D383" i="9"/>
  <c r="D416" i="9"/>
  <c r="D57" i="9"/>
  <c r="D217" i="9"/>
  <c r="D324" i="9"/>
  <c r="D249" i="9"/>
  <c r="D384" i="9"/>
  <c r="D218" i="9"/>
  <c r="D221" i="9"/>
  <c r="D117" i="9"/>
  <c r="D203" i="9"/>
  <c r="D219" i="9"/>
  <c r="D95" i="9"/>
  <c r="D100" i="9"/>
  <c r="D96" i="9"/>
  <c r="D97" i="9"/>
  <c r="D58" i="9"/>
  <c r="D68" i="9"/>
  <c r="D182" i="9"/>
  <c r="D256" i="9"/>
  <c r="D385" i="9"/>
  <c r="D216" i="9"/>
  <c r="D199" i="9"/>
  <c r="D386" i="9"/>
  <c r="D74" i="9"/>
  <c r="D325" i="9"/>
  <c r="D225" i="9"/>
  <c r="D363" i="9"/>
  <c r="D377" i="9"/>
  <c r="D212" i="9"/>
  <c r="D78" i="9"/>
  <c r="D55" i="9"/>
  <c r="D387" i="9"/>
  <c r="D12" i="9"/>
  <c r="D144" i="9"/>
  <c r="D364" i="9"/>
  <c r="D79" i="9"/>
  <c r="D112" i="9"/>
  <c r="D388" i="9"/>
  <c r="D326" i="9"/>
  <c r="D378" i="9"/>
  <c r="D214" i="9"/>
  <c r="D56" i="9"/>
  <c r="D389" i="9"/>
  <c r="D13" i="9"/>
  <c r="D149" i="9"/>
  <c r="D365" i="9"/>
  <c r="D80" i="9"/>
  <c r="D351" i="9"/>
  <c r="D390" i="9"/>
  <c r="D332" i="9"/>
  <c r="D353" i="9"/>
  <c r="D391" i="9"/>
  <c r="D204" i="9"/>
  <c r="D14" i="9"/>
  <c r="D366" i="9"/>
  <c r="D395" i="9"/>
  <c r="D81" i="9"/>
  <c r="D379" i="9"/>
  <c r="D380" i="9"/>
  <c r="D362" i="9"/>
  <c r="D392" i="9"/>
  <c r="D211" i="9"/>
  <c r="D54" i="9"/>
  <c r="D11" i="9"/>
  <c r="D375" i="9"/>
  <c r="D456" i="9"/>
  <c r="D399" i="9"/>
  <c r="D94" i="9"/>
  <c r="D2" i="9"/>
  <c r="D3" i="9"/>
  <c r="D271" i="9"/>
  <c r="D322" i="9"/>
  <c r="D52" i="9"/>
  <c r="D40" i="9"/>
  <c r="D185" i="9"/>
  <c r="D354" i="9"/>
  <c r="D295" i="9"/>
  <c r="D63" i="9"/>
  <c r="D202" i="9"/>
  <c r="D196" i="9"/>
  <c r="D64" i="9"/>
  <c r="D338" i="9"/>
  <c r="D319" i="9"/>
  <c r="D300" i="9"/>
  <c r="D304" i="9"/>
  <c r="D305" i="9"/>
  <c r="D276" i="9"/>
  <c r="D209" i="9"/>
  <c r="D41" i="9"/>
  <c r="D277" i="9"/>
  <c r="D134" i="9"/>
  <c r="D337" i="9"/>
  <c r="D272" i="9"/>
  <c r="D15" i="9"/>
  <c r="D61" i="9"/>
  <c r="D323" i="9"/>
  <c r="D328" i="9"/>
  <c r="D151" i="9"/>
  <c r="D16" i="9"/>
  <c r="D244" i="9"/>
  <c r="D98" i="9"/>
  <c r="D77" i="9"/>
  <c r="D222" i="9"/>
  <c r="D82" i="9"/>
  <c r="D136" i="9"/>
  <c r="D243" i="9"/>
  <c r="D194" i="9"/>
  <c r="D223" i="9"/>
  <c r="D135" i="9"/>
  <c r="D273" i="9"/>
  <c r="D83" i="9"/>
  <c r="D137" i="9"/>
  <c r="D350" i="9"/>
  <c r="D46" i="9"/>
  <c r="D39" i="9"/>
  <c r="D410" i="9"/>
  <c r="D283" i="9"/>
  <c r="D224" i="9"/>
  <c r="D84" i="9"/>
  <c r="D47" i="9"/>
  <c r="D274" i="9"/>
  <c r="D339" i="9"/>
  <c r="D138" i="9"/>
  <c r="D349" i="9"/>
  <c r="D361" i="9"/>
  <c r="D259" i="9"/>
  <c r="D48" i="9"/>
  <c r="D280" i="9"/>
  <c r="D156" i="9"/>
  <c r="D294" i="9"/>
  <c r="D62" i="9"/>
  <c r="D242" i="9"/>
  <c r="D176" i="9"/>
  <c r="D401" i="9"/>
  <c r="D93" i="9"/>
  <c r="D51" i="9"/>
  <c r="D253" i="9"/>
  <c r="D302" i="9"/>
  <c r="D91" i="9"/>
  <c r="D312" i="9"/>
  <c r="D279" i="9"/>
  <c r="D347" i="9"/>
  <c r="D195" i="9"/>
  <c r="D158" i="9"/>
  <c r="D403" i="9"/>
  <c r="D183" i="9"/>
  <c r="D86" i="9"/>
  <c r="D152" i="9"/>
  <c r="D171" i="9"/>
  <c r="D308" i="9"/>
  <c r="D172" i="9"/>
  <c r="D173" i="9"/>
  <c r="D309" i="9"/>
  <c r="D174" i="9"/>
  <c r="D175" i="9"/>
  <c r="D198" i="9"/>
  <c r="D258" i="9"/>
  <c r="D99" i="9"/>
  <c r="D72" i="9"/>
  <c r="D71" i="9"/>
  <c r="D169" i="9"/>
  <c r="D257" i="9"/>
  <c r="D263" i="9"/>
  <c r="D245" i="9"/>
  <c r="D114" i="9"/>
  <c r="D400" i="9"/>
  <c r="D348" i="9"/>
  <c r="D342" i="9"/>
  <c r="D197" i="9"/>
  <c r="D143" i="9"/>
  <c r="D393" i="9"/>
  <c r="D394" i="9"/>
  <c r="D106" i="9"/>
  <c r="D116" i="9"/>
  <c r="D121" i="9"/>
  <c r="D352" i="9"/>
  <c r="D376" i="9"/>
  <c r="D406" i="9"/>
</calcChain>
</file>

<file path=xl/comments1.xml><?xml version="1.0" encoding="utf-8"?>
<comments xmlns="http://schemas.openxmlformats.org/spreadsheetml/2006/main">
  <authors>
    <author>Александр С. Пятков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Не должно быть повторений. Не должно быть кавычек и апострофов в названиях клиентов.
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 xml:space="preserve">Несколько email адресов можно задать через запятую
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 xml:space="preserve">1 - не отсылать клиенту, пусто - отсылать
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 xml:space="preserve">#Н/Д означает, что для данного клиента нет данных в таблице Контракты
</t>
        </r>
      </text>
    </comment>
  </commentList>
</comments>
</file>

<file path=xl/comments2.xml><?xml version="1.0" encoding="utf-8"?>
<comments xmlns="http://schemas.openxmlformats.org/spreadsheetml/2006/main">
  <authors>
    <author>Александр С. Пятков</author>
  </authors>
  <commentList>
    <comment ref="C1" authorId="0" shapeId="0">
      <text>
        <r>
          <rPr>
            <sz val="9"/>
            <color indexed="81"/>
            <rFont val="Tahoma"/>
            <family val="2"/>
            <charset val="204"/>
          </rPr>
          <t xml:space="preserve">Колонка используется только для ручной сортировки строк
</t>
        </r>
      </text>
    </comment>
  </commentList>
</comments>
</file>

<file path=xl/comments3.xml><?xml version="1.0" encoding="utf-8"?>
<comments xmlns="http://schemas.openxmlformats.org/spreadsheetml/2006/main">
  <authors>
    <author>Александр С. Пятков</author>
  </authors>
  <commentLis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1 - не добавлять строку в текс письма. Пусто - добавлять
</t>
        </r>
      </text>
    </comment>
  </commentList>
</comments>
</file>

<file path=xl/comments4.xml><?xml version="1.0" encoding="utf-8"?>
<comments xmlns="http://schemas.openxmlformats.org/spreadsheetml/2006/main">
  <authors>
    <author>Александр С. Пятков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 xml:space="preserve">В первой строке заголовок письма. Письмо для рассылки напоминаний.
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1 - не добавлять строку в текс письма. Пусто - добавлять
</t>
        </r>
      </text>
    </comment>
  </commentList>
</comments>
</file>

<file path=xl/comments5.xml><?xml version="1.0" encoding="utf-8"?>
<comments xmlns="http://schemas.openxmlformats.org/spreadsheetml/2006/main">
  <authors>
    <author>Александр С. Пятков</author>
  </authors>
  <commentLis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Инструкция попадает в файл, рассылаемый клиенту (лист "Инструкция")
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1 - строка не передается клиенту. Пусто - передается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<sst xmlns="http://schemas.openxmlformats.org/spreadsheetml/2006/main" count="3696" uniqueCount="701">
  <si>
    <t>Стратегия</t>
  </si>
  <si>
    <t>Ногинский Стройфарфор</t>
  </si>
  <si>
    <t>Штарком</t>
  </si>
  <si>
    <t>ЗИК</t>
  </si>
  <si>
    <t>Корпорация КРЕПС</t>
  </si>
  <si>
    <t>ПРОМЭКСТЭК</t>
  </si>
  <si>
    <t>Сен-Гобен Строительньная Продукция Рус</t>
  </si>
  <si>
    <t>Гео Про Макс</t>
  </si>
  <si>
    <t>РМК</t>
  </si>
  <si>
    <t>Первоуральский динасовый завод</t>
  </si>
  <si>
    <t>АВТО_самовывоз</t>
  </si>
  <si>
    <t>Доставка</t>
  </si>
  <si>
    <t>АВТО_услуга</t>
  </si>
  <si>
    <t>ЖД_услуга</t>
  </si>
  <si>
    <t>РэйлПро</t>
  </si>
  <si>
    <t>Кварц-Транс</t>
  </si>
  <si>
    <t>Авто самовывоз</t>
  </si>
  <si>
    <t>ТрансCимпл</t>
  </si>
  <si>
    <t>Трансстрой</t>
  </si>
  <si>
    <t>Клиент</t>
  </si>
  <si>
    <t>Экспедитор</t>
  </si>
  <si>
    <t>Почта</t>
  </si>
  <si>
    <t>Продукт</t>
  </si>
  <si>
    <t>ВС-030-В</t>
  </si>
  <si>
    <t>ВС-050-1</t>
  </si>
  <si>
    <t>Мука R-10</t>
  </si>
  <si>
    <t>Мука R-300</t>
  </si>
  <si>
    <t>Мука R-4</t>
  </si>
  <si>
    <t>Мука R-4 EW</t>
  </si>
  <si>
    <t>Мука R-6</t>
  </si>
  <si>
    <t>Отсевы М</t>
  </si>
  <si>
    <t>Отсевы ОМ</t>
  </si>
  <si>
    <t>Отсевы ОТ</t>
  </si>
  <si>
    <t>ПБ-150-1</t>
  </si>
  <si>
    <t>ПБ-150-1 охлажденный</t>
  </si>
  <si>
    <t>Письмо</t>
  </si>
  <si>
    <t>Не отсылать</t>
  </si>
  <si>
    <t>Уважаемый Клиент!</t>
  </si>
  <si>
    <t>Галичкин Владимир Николаевич</t>
  </si>
  <si>
    <t>Грызунов Роман Николаевич</t>
  </si>
  <si>
    <t>Грызунова Лариса Владимировна</t>
  </si>
  <si>
    <t>Коваленко Наталья Алексеевна</t>
  </si>
  <si>
    <t>Кролевецкий Денис Владимирович</t>
  </si>
  <si>
    <t>Кузнецов Евгений Олегович</t>
  </si>
  <si>
    <t>Мартюшов Андрей Евгеньевич</t>
  </si>
  <si>
    <t>Мусаев Мурад Исмаилович</t>
  </si>
  <si>
    <t>Новиков Юрий Николаевич</t>
  </si>
  <si>
    <t>Сидоров Павел Владимирович</t>
  </si>
  <si>
    <t>Соколова Любовь Николаевна</t>
  </si>
  <si>
    <t>Тимофеев Алексей Владимирович</t>
  </si>
  <si>
    <t>Федотов Алексей Николаевич</t>
  </si>
  <si>
    <t>Ямщиков Андрей Евгеньевич</t>
  </si>
  <si>
    <t>Менеджер</t>
  </si>
  <si>
    <t>akimova@lzos.ru,  lzos@comail.ru</t>
  </si>
  <si>
    <t>Лыткаринский завод оптического стекла</t>
  </si>
  <si>
    <t>Гласс Технолоджис</t>
  </si>
  <si>
    <t>Мапеи</t>
  </si>
  <si>
    <t>БАУТЕК</t>
  </si>
  <si>
    <t>Silverbond 50</t>
  </si>
  <si>
    <t>Silverbond 15</t>
  </si>
  <si>
    <t>Silverbond 20</t>
  </si>
  <si>
    <t>Silverbond 30</t>
  </si>
  <si>
    <t>Квик-микс</t>
  </si>
  <si>
    <t>Керамогранитный завод</t>
  </si>
  <si>
    <t>Алнас</t>
  </si>
  <si>
    <t>Буньковский Экспериментальный завод</t>
  </si>
  <si>
    <t>Гжельский кирпичный завод</t>
  </si>
  <si>
    <t>n_kuzmina@alex-glass.ru</t>
  </si>
  <si>
    <t>gls2012@bk.ru</t>
  </si>
  <si>
    <t>nm.bautek@yandex.ru</t>
  </si>
  <si>
    <t>v.maslov@quick-mix.com</t>
  </si>
  <si>
    <t>sales@oao-gkz.ru</t>
  </si>
  <si>
    <t>НПО Стеклопластик</t>
  </si>
  <si>
    <t>ptk-sudogda@yandex.ru, therm@online.ru</t>
  </si>
  <si>
    <t>ОСВ Стекловолокно</t>
  </si>
  <si>
    <t>savelyev@dinur.ru</t>
  </si>
  <si>
    <t>ЦНИИСМ</t>
  </si>
  <si>
    <t>tsniism@tsniism.ru</t>
  </si>
  <si>
    <t>ВерРус</t>
  </si>
  <si>
    <t>fsarkad@mail.ru</t>
  </si>
  <si>
    <t>АрхиДекор</t>
  </si>
  <si>
    <t>АрхиСтиль</t>
  </si>
  <si>
    <t>buhg@archistyle.ru</t>
  </si>
  <si>
    <t>ГК Дом</t>
  </si>
  <si>
    <t>ДАРстрой</t>
  </si>
  <si>
    <t>umixb@mail.ru</t>
  </si>
  <si>
    <t>Константа</t>
  </si>
  <si>
    <t>simvol13@firmasimvol.ru</t>
  </si>
  <si>
    <t>Красное Эхо</t>
  </si>
  <si>
    <t>ИП Горбунов</t>
  </si>
  <si>
    <t>Крацер</t>
  </si>
  <si>
    <t>9037557924@mail.ru</t>
  </si>
  <si>
    <t>Опытный стекольный завод</t>
  </si>
  <si>
    <t>olga.GRISHINA@arc-intl.com</t>
  </si>
  <si>
    <t>dorfinind@yandex.ru</t>
  </si>
  <si>
    <t>Стандарт качества</t>
  </si>
  <si>
    <t>omtsmk@gmail.com, 7772112@rambler.ru</t>
  </si>
  <si>
    <t>ГЛАСС ДЕКОР</t>
  </si>
  <si>
    <t>gelios_snab@mail.ru</t>
  </si>
  <si>
    <t>Центр Современной Отделки</t>
  </si>
  <si>
    <t>fsarkad@mail.ru, 6622195@mail.ru</t>
  </si>
  <si>
    <t>rakova_tdo@mail.ru, butylkinaei@obeton.ru</t>
  </si>
  <si>
    <t>КСМстрой</t>
  </si>
  <si>
    <t>spectr-msk@mail.ru</t>
  </si>
  <si>
    <t>БАСФ Строительные системы</t>
  </si>
  <si>
    <t>margarita.efimova@basf.com, olga.petrova@basf.com</t>
  </si>
  <si>
    <t>БИРСС-Менеджмент</t>
  </si>
  <si>
    <t>omts@birss.ru</t>
  </si>
  <si>
    <t>Витра Плитка</t>
  </si>
  <si>
    <t>Marina.Santer@Vitra-Russia.ru, Eduard.Dimov@Vitra-Russia.ru</t>
  </si>
  <si>
    <t>Витра Сантехника</t>
  </si>
  <si>
    <t>ДАВ-Малино</t>
  </si>
  <si>
    <t>Дауер</t>
  </si>
  <si>
    <t>glemba@dauer.su</t>
  </si>
  <si>
    <t>ЕК Кемикал</t>
  </si>
  <si>
    <t>sdv@ek-group.ru</t>
  </si>
  <si>
    <t>Завод Стекловолокна</t>
  </si>
  <si>
    <t>diasamidze@vsk.tn.ru</t>
  </si>
  <si>
    <t>Для сортировки</t>
  </si>
  <si>
    <t>zkm.stone@mail.ru, zik_ooo@mail.ru</t>
  </si>
  <si>
    <t>vilkov@vnk3.ru</t>
  </si>
  <si>
    <t>ИнТеСМа</t>
  </si>
  <si>
    <t>titova_va@unistrom.ru</t>
  </si>
  <si>
    <t>Каширский литейный завод Центролит</t>
  </si>
  <si>
    <t>klzcsnab@mail.ru</t>
  </si>
  <si>
    <t>Керама Марацци</t>
  </si>
  <si>
    <t>deriglazov_ng@kerama-marazzi.ru</t>
  </si>
  <si>
    <t>Кнауф Гипс</t>
  </si>
  <si>
    <t>ratnikow.oleg@knauf.ru</t>
  </si>
  <si>
    <t>Кнауф Инсулейшн</t>
  </si>
  <si>
    <t>Компас</t>
  </si>
  <si>
    <t>Konstanta_33@mail.ru</t>
  </si>
  <si>
    <t>Консолит</t>
  </si>
  <si>
    <t>zavod@consolit.ru, ppiap@mail.ru</t>
  </si>
  <si>
    <t>dima.sazurkin@yandex.ru</t>
  </si>
  <si>
    <t>Крайзель Рус</t>
  </si>
  <si>
    <t>3541639@mail.ru, Natalia.Zabarnaya@kreisel.ru</t>
  </si>
  <si>
    <t>МаСт</t>
  </si>
  <si>
    <t>84995002812@mail.ru, mast@orc.ru</t>
  </si>
  <si>
    <t>МИКС</t>
  </si>
  <si>
    <t>МУРЕКСИН</t>
  </si>
  <si>
    <t>Ногинский комбинат строительных смесей</t>
  </si>
  <si>
    <t>info@litokol.ru</t>
  </si>
  <si>
    <t>П-Д Татнефть-Алабуга Стекловолокно</t>
  </si>
  <si>
    <t>Перспективные энергетические технологии</t>
  </si>
  <si>
    <t>Пилкингтон Гласс</t>
  </si>
  <si>
    <t>ПК Борец</t>
  </si>
  <si>
    <t>Klinovenkova@borets.ru, office@borets.ru</t>
  </si>
  <si>
    <t>aspielberg@farwest.ru, mglinskis@farwest.ru</t>
  </si>
  <si>
    <t>Резерв</t>
  </si>
  <si>
    <t>Русджам</t>
  </si>
  <si>
    <t>okel@ruscam.ru</t>
  </si>
  <si>
    <t>СПС</t>
  </si>
  <si>
    <t>snab@spcmsk.com, gvs63@mail.ru</t>
  </si>
  <si>
    <t>ПК Седрус</t>
  </si>
  <si>
    <t>Bulgakova.AS@ced-rus.ru</t>
  </si>
  <si>
    <t>СМТ Продукт</t>
  </si>
  <si>
    <t>ine@cmt-product.ru</t>
  </si>
  <si>
    <t>Старатели</t>
  </si>
  <si>
    <t>antoshkin@starateli.com, smirnova@starateli.com</t>
  </si>
  <si>
    <t>lapin@eurokam.ru, volynko@eurokam.ru</t>
  </si>
  <si>
    <t>Термглас</t>
  </si>
  <si>
    <t>snab@thermopribor.com</t>
  </si>
  <si>
    <t>Торговый Дом Геркулес</t>
  </si>
  <si>
    <t>Larisa.Grizunova@sibelco.com</t>
  </si>
  <si>
    <t>Индустриальный парк Внуково-3</t>
  </si>
  <si>
    <t>geopromax@mail.ru</t>
  </si>
  <si>
    <t>Торговый Дом Экс Морэ</t>
  </si>
  <si>
    <t>popov@exmore.ru, sales@exmore.ru</t>
  </si>
  <si>
    <t>Silverbond 50EW</t>
  </si>
  <si>
    <t>ТД Строительные материалы</t>
  </si>
  <si>
    <t>snab@gkgs.ru</t>
  </si>
  <si>
    <t>УРСА Евразия</t>
  </si>
  <si>
    <t>Yanina.Skobina@uralita.com</t>
  </si>
  <si>
    <t>Фаворит</t>
  </si>
  <si>
    <t>favorit-snab@mail.ru</t>
  </si>
  <si>
    <t>ФасадСтоун</t>
  </si>
  <si>
    <t>romeo-brv@mail.ru, balashov@fasad-stone.ru</t>
  </si>
  <si>
    <t>Фирма ВЕФТ</t>
  </si>
  <si>
    <t>veft@yandex.ru</t>
  </si>
  <si>
    <t>Фирма Русеан</t>
  </si>
  <si>
    <t>1071213@mail.ru</t>
  </si>
  <si>
    <t>Форбо СТРОЙТЕХ</t>
  </si>
  <si>
    <t>Sergey.Iljin@forbo.com</t>
  </si>
  <si>
    <t>Эй-Джи строймаркет</t>
  </si>
  <si>
    <t>ЭМ-СИ Баухеми</t>
  </si>
  <si>
    <t>natalia.lepokurova@mc-bauchemie.ru</t>
  </si>
  <si>
    <t>Эстима Керамика</t>
  </si>
  <si>
    <t>v.lipuntsov@keraton.ru</t>
  </si>
  <si>
    <t>ЮнисИмпэкс</t>
  </si>
  <si>
    <r>
      <t xml:space="preserve">titova_va@unistrom.ru, </t>
    </r>
    <r>
      <rPr>
        <sz val="10"/>
        <color rgb="FF002060"/>
        <rFont val="Century"/>
        <family val="1"/>
        <charset val="204"/>
      </rPr>
      <t>kozlov_sy@unistrom.ru</t>
    </r>
  </si>
  <si>
    <t>ФЦДТ Союз</t>
  </si>
  <si>
    <t>4955510666@mail.ru</t>
  </si>
  <si>
    <t>Филиал НПК Терм ОАО НПО Стеклопластик</t>
  </si>
  <si>
    <t>omtonpo@mail.ru, therm@online.ru</t>
  </si>
  <si>
    <t>№</t>
  </si>
  <si>
    <t>sergej.stepanov@daw-malino.ru,gennadiy.shtanko@caparol-malino.ru</t>
  </si>
  <si>
    <t>acquistikgz@italonceramica.ru,a.ivanov@italonceramica.ru</t>
  </si>
  <si>
    <t>Alexander.Shipulin@knaufinsulation.com,Roman.Fedoseev@knaufinsulation.com</t>
  </si>
  <si>
    <t>E.Rassudovskaya@murexin.ru,r.panasenko@murexin.ru</t>
  </si>
  <si>
    <t>GarifullinNA@pdt-steklovolokno.ru,office@pdt-steklovolokno.ru</t>
  </si>
  <si>
    <t>Затем откройте уже сохраненный файл для ввода данных по заявке.</t>
  </si>
  <si>
    <t>Как формировать заявку</t>
  </si>
  <si>
    <t>Пояснение 1: Кроме заявки на очередной месяц, нужно дать прогнозные данные на 2 последующих месяца.</t>
  </si>
  <si>
    <t>Пояснение 2: При необходимости Вы можете написать комментарии в колонке "Примечение" (E).</t>
  </si>
  <si>
    <t>БЕ</t>
  </si>
  <si>
    <t>РГОК</t>
  </si>
  <si>
    <t>НКУ</t>
  </si>
  <si>
    <t>ВРУ</t>
  </si>
  <si>
    <t>РСХ</t>
  </si>
  <si>
    <t>NRAK@ruscam.ru</t>
  </si>
  <si>
    <t>ТД Геркулес</t>
  </si>
  <si>
    <t>Техмаркет</t>
  </si>
  <si>
    <t>РС-СТЕКЛОСНАБ</t>
  </si>
  <si>
    <t>melnikovao@glassfactory.ru</t>
  </si>
  <si>
    <t>Солстек</t>
  </si>
  <si>
    <t>detkova@solstek.com</t>
  </si>
  <si>
    <t>Чагода</t>
  </si>
  <si>
    <t>lena@chsz.ru, info@chsz.ru</t>
  </si>
  <si>
    <t>Эй Джи Си БСЗ</t>
  </si>
  <si>
    <t>Эй Джи Си Флэт Гласс Клин</t>
  </si>
  <si>
    <t>Svetlana.Maskaeva@eu.agc-flatglass.com</t>
  </si>
  <si>
    <t>1К1О2 025</t>
  </si>
  <si>
    <t>Отсевы дробления ОМ</t>
  </si>
  <si>
    <t>Отсевы дробления ОТ</t>
  </si>
  <si>
    <t>ПБ-150-1 влажный</t>
  </si>
  <si>
    <t>Песок кварцевый Unifrac (биг-бег)</t>
  </si>
  <si>
    <t>Песок кварц фракц 0,3-0,8</t>
  </si>
  <si>
    <t>ПБ-150-1 (биг-бег)</t>
  </si>
  <si>
    <t>БСЗ</t>
  </si>
  <si>
    <t>sartakova_@mail.ru</t>
  </si>
  <si>
    <t>ОМЗ-ЛП</t>
  </si>
  <si>
    <t>Galina.Teterina@omzglobal.com</t>
  </si>
  <si>
    <t>snab.omz@mail.ru</t>
  </si>
  <si>
    <t>Глина ЛТ-0С (биг-бег)</t>
  </si>
  <si>
    <t>Глина ЛТ-1С (биг-бег)</t>
  </si>
  <si>
    <t>Глина ЛТ-К1 (биг-бег)</t>
  </si>
  <si>
    <t>ЛТ-0</t>
  </si>
  <si>
    <t>ЛТ-0С</t>
  </si>
  <si>
    <t>ЛТ-0Т</t>
  </si>
  <si>
    <t>ЛТ-1</t>
  </si>
  <si>
    <t>ЛТ-1С</t>
  </si>
  <si>
    <t>ЛТ-1Т</t>
  </si>
  <si>
    <t>ЛТ-2</t>
  </si>
  <si>
    <t>ЛТ-2С</t>
  </si>
  <si>
    <t>ЛТ-2Т</t>
  </si>
  <si>
    <t>ЛТ-3</t>
  </si>
  <si>
    <t>ЛТ-3С</t>
  </si>
  <si>
    <t>ЛТ-3Т</t>
  </si>
  <si>
    <t>ЛТ-К1</t>
  </si>
  <si>
    <t>ЛТ-К1С</t>
  </si>
  <si>
    <t>ЛТ-К3</t>
  </si>
  <si>
    <t>ЛТ-К3Т</t>
  </si>
  <si>
    <t>ЛТ-КЖ</t>
  </si>
  <si>
    <t>ЛТ-КР</t>
  </si>
  <si>
    <t>ЛТ-ПК</t>
  </si>
  <si>
    <t>ЛТ-ПКС</t>
  </si>
  <si>
    <t>ЛТ-ПКТ</t>
  </si>
  <si>
    <t>ЛТ-У</t>
  </si>
  <si>
    <t>ЛТ-У2</t>
  </si>
  <si>
    <t>Песок кварц фракц 0,1-0,63</t>
  </si>
  <si>
    <t>Песок кварц фракц 0,1-0,63 (биг-бег)</t>
  </si>
  <si>
    <t>Песок кварц фракц 0,2-1,0</t>
  </si>
  <si>
    <t>Песок кварц фракц 0,2-1,0 (биг-бег)</t>
  </si>
  <si>
    <t>Песок кварц фракц 0,2-1,6</t>
  </si>
  <si>
    <t>Песок кварц фракц 0,63-1,6 (биг-бег)</t>
  </si>
  <si>
    <t>Песок кварц фракц 0,63-5,0</t>
  </si>
  <si>
    <t>Песок кварц фракц 0,8-2,0 (биг-бег)</t>
  </si>
  <si>
    <t>Песок кварц фракц 1,0-5,0 (биг-бег)</t>
  </si>
  <si>
    <t>Песок кварц фракц 4,0-10,0</t>
  </si>
  <si>
    <t>Песчаник</t>
  </si>
  <si>
    <t>Волжский абразивный завод</t>
  </si>
  <si>
    <t>pobozhina_SB@vabz.ru</t>
  </si>
  <si>
    <t>Оленегорский механический завод</t>
  </si>
  <si>
    <t>Торговый Дом Центральный</t>
  </si>
  <si>
    <t>rudservis@list.ru</t>
  </si>
  <si>
    <t>Самарский Стройфарфор</t>
  </si>
  <si>
    <t>smts8@farphor.ru</t>
  </si>
  <si>
    <t>ОгнеупорПром</t>
  </si>
  <si>
    <t>d.lesechko@rosogneupor.com</t>
  </si>
  <si>
    <t>НИКА-ПЕТРОТЭК</t>
  </si>
  <si>
    <t>o.kulakova@nikapetrotech.com</t>
  </si>
  <si>
    <t>Речицкий фарфоровый завод</t>
  </si>
  <si>
    <t>snab@rfz.ru, rfz@rfz.ru</t>
  </si>
  <si>
    <t>Семилукские огнеупоры</t>
  </si>
  <si>
    <t>voronov@semiluki.ru</t>
  </si>
  <si>
    <t>Воронежский завод бытовой керамики</t>
  </si>
  <si>
    <t>vzbk2008@yandex.ru</t>
  </si>
  <si>
    <t>ФРИЛАЙТ</t>
  </si>
  <si>
    <t>kalyuzhina@cf-systems.ru, kovalenko@freelitedecor.ru</t>
  </si>
  <si>
    <t>Самарское Объединение Керамики</t>
  </si>
  <si>
    <t>s.minina@estima.ru</t>
  </si>
  <si>
    <t>Стима Групп</t>
  </si>
  <si>
    <t>faience@rambler.ru</t>
  </si>
  <si>
    <t>УграКерам</t>
  </si>
  <si>
    <t>vladimir.Gorbunov@santeri.su</t>
  </si>
  <si>
    <t>Кировская керамика</t>
  </si>
  <si>
    <t>otsnab@kzsf.ru</t>
  </si>
  <si>
    <t>УССК</t>
  </si>
  <si>
    <t>info@usscompany.ru</t>
  </si>
  <si>
    <t>Нефрит-Керамика</t>
  </si>
  <si>
    <t>sm@nefrit.ru</t>
  </si>
  <si>
    <t>Завод керамического кирпича</t>
  </si>
  <si>
    <t>snab-zkk@mail.ru</t>
  </si>
  <si>
    <t>ЛСР.Стеновые-М</t>
  </si>
  <si>
    <t>gridchenkova.og@lsrgroup.ru</t>
  </si>
  <si>
    <t>ЛСР.Стеновые-СЗ</t>
  </si>
  <si>
    <t>semikov.vm@lsrgroup.ru</t>
  </si>
  <si>
    <t>НЗКМ</t>
  </si>
  <si>
    <t>demin@nzkm.ru, nzkm@nzkm.ru</t>
  </si>
  <si>
    <t>Голицынский керамический завод</t>
  </si>
  <si>
    <t>sirevik@yandex.ru</t>
  </si>
  <si>
    <t>ЖД_самовывоз</t>
  </si>
  <si>
    <t>ЖД самовывоз</t>
  </si>
  <si>
    <t>Губский кирпичный завод</t>
  </si>
  <si>
    <t>bra@gubskiy-kirpich.ru</t>
  </si>
  <si>
    <t>ЛиС-Трейд-Л</t>
  </si>
  <si>
    <t>ksenyashapovalova123@mail.ru</t>
  </si>
  <si>
    <t>avn7474@gmail.com, bondarevalena.81@mail.ru</t>
  </si>
  <si>
    <t>Новолипецкий металлургический комбинат</t>
  </si>
  <si>
    <t>ГлобалТранс</t>
  </si>
  <si>
    <t>Lapshin_aa4@nlmk.ru</t>
  </si>
  <si>
    <t>ТК КРАСКИ ЧЕРНОЗЕМЬЯ</t>
  </si>
  <si>
    <t>kraski-ch@mail.ru</t>
  </si>
  <si>
    <t>Неруд-Холдинг</t>
  </si>
  <si>
    <t>Торговый дом ТАВР Неруд</t>
  </si>
  <si>
    <t>sales@tareksa.ru</t>
  </si>
  <si>
    <t>МостСервис</t>
  </si>
  <si>
    <t>10166sv@mail.ru</t>
  </si>
  <si>
    <t>Воронежтрубопроводстрой</t>
  </si>
  <si>
    <t>vtps-marketing@yandex.ru</t>
  </si>
  <si>
    <t>Вертикаль Ремстрой</t>
  </si>
  <si>
    <t>vertikal-ros@yandex.ru</t>
  </si>
  <si>
    <t>Батолит</t>
  </si>
  <si>
    <t>ГеоСтиль</t>
  </si>
  <si>
    <t>mail@geogips.ru, lena@geogips.ru</t>
  </si>
  <si>
    <t>Декор НПК</t>
  </si>
  <si>
    <t>snab@npkdekor.ru, info@npkdekor.ru</t>
  </si>
  <si>
    <t>Строй Инжиниринг Девелопмент</t>
  </si>
  <si>
    <t>s901919@mail.ru</t>
  </si>
  <si>
    <t>Стройсервисиндустрия</t>
  </si>
  <si>
    <t>s-s-ind@yandex.ru</t>
  </si>
  <si>
    <t>Лужский Абразивный Завод</t>
  </si>
  <si>
    <t>ntp@abrasives.ru</t>
  </si>
  <si>
    <t>Акзо Нобель Лакокраска</t>
  </si>
  <si>
    <t>Совфрахт</t>
  </si>
  <si>
    <t>Anna.Vedenina@akzonobel.com, Evgeniya.Koryagina@akzonobel.com</t>
  </si>
  <si>
    <t>1К 1-2О 1-301-016 (биг-бег)</t>
  </si>
  <si>
    <t>1К1-2О1-4О1 (биг-бег)</t>
  </si>
  <si>
    <t>1К1О2 025 (биг-бег)</t>
  </si>
  <si>
    <t>Casiflux FG20</t>
  </si>
  <si>
    <t>Casiflux G38</t>
  </si>
  <si>
    <t>Casiflux M75</t>
  </si>
  <si>
    <t>Clayrac-EPU-0/0,2-S</t>
  </si>
  <si>
    <t>Eucla Zircon Premium Grade</t>
  </si>
  <si>
    <t>Incast LE-45</t>
  </si>
  <si>
    <t>Mangalox C45</t>
  </si>
  <si>
    <t>Mangalox K75</t>
  </si>
  <si>
    <t>Mangalox А45</t>
  </si>
  <si>
    <t>Minbloc M8000</t>
  </si>
  <si>
    <t>Minex S-4</t>
  </si>
  <si>
    <t>Minex S-7</t>
  </si>
  <si>
    <t>Portachrom A38</t>
  </si>
  <si>
    <t>Portafer AP65</t>
  </si>
  <si>
    <t>Portafer G63</t>
  </si>
  <si>
    <t>Portafill A40</t>
  </si>
  <si>
    <t>Portafill SG25</t>
  </si>
  <si>
    <t>Portafill SG63</t>
  </si>
  <si>
    <t>Portaflame SG25</t>
  </si>
  <si>
    <t>Portaflame SG63</t>
  </si>
  <si>
    <t>Portaflux A100</t>
  </si>
  <si>
    <t>Portalum A90</t>
  </si>
  <si>
    <t>Portalum B3010</t>
  </si>
  <si>
    <t>Portaryte B10</t>
  </si>
  <si>
    <t>Portaryte B15</t>
  </si>
  <si>
    <t>Portaryte B25</t>
  </si>
  <si>
    <t>Portaryte B4</t>
  </si>
  <si>
    <t>Portaryte B40/10</t>
  </si>
  <si>
    <t>Portaryte B5</t>
  </si>
  <si>
    <t>Portaryte D20</t>
  </si>
  <si>
    <t>Sibelite М002</t>
  </si>
  <si>
    <t>Sibelite М3000</t>
  </si>
  <si>
    <t>Sibelite М6000</t>
  </si>
  <si>
    <t>Sibelite М72</t>
  </si>
  <si>
    <t>Silverbond M400</t>
  </si>
  <si>
    <t>Silverbond M600</t>
  </si>
  <si>
    <t>Thermtech EBT</t>
  </si>
  <si>
    <t>Tital10</t>
  </si>
  <si>
    <t>Tital1591</t>
  </si>
  <si>
    <t>Unifrac 30/50</t>
  </si>
  <si>
    <t>Vanguard 180-250</t>
  </si>
  <si>
    <t>Vanguard 63-125</t>
  </si>
  <si>
    <t>Vanguard M75</t>
  </si>
  <si>
    <t>Vitroflux M75</t>
  </si>
  <si>
    <t>Zeta Zircon 200 mesh</t>
  </si>
  <si>
    <t>Zeta Zircon Fine</t>
  </si>
  <si>
    <t>Zeta Zircon Superfine</t>
  </si>
  <si>
    <t>Zeta Zircon Superfine - T</t>
  </si>
  <si>
    <t>Zeta Zircon Ultrafine-T</t>
  </si>
  <si>
    <t>Zircobit MO</t>
  </si>
  <si>
    <t>Волластонит FW 200</t>
  </si>
  <si>
    <t>ВС-030-В (биг-бег)</t>
  </si>
  <si>
    <t>ВС-030-В (меш)</t>
  </si>
  <si>
    <t>ВС-050-1 (биг-бег)</t>
  </si>
  <si>
    <t>ВС-050-1 (меш)</t>
  </si>
  <si>
    <t>Галька 2-4</t>
  </si>
  <si>
    <t>Галька 4-6</t>
  </si>
  <si>
    <t>Галька 5-7</t>
  </si>
  <si>
    <t>Галька 8-10</t>
  </si>
  <si>
    <t>Глина  DM Shredded</t>
  </si>
  <si>
    <t>Глина DM Puraflo</t>
  </si>
  <si>
    <t>Глина DM shredded</t>
  </si>
  <si>
    <t>Глина OPAL TA</t>
  </si>
  <si>
    <t>Глина Sanblend 90</t>
  </si>
  <si>
    <t>Глина Sanblend Excel</t>
  </si>
  <si>
    <t>Камни кремниевые 6-8</t>
  </si>
  <si>
    <t>Каолин 31</t>
  </si>
  <si>
    <t>Кварц FFQ 45</t>
  </si>
  <si>
    <t>Кристобалит Minigrain 0</t>
  </si>
  <si>
    <t>Кристобалит Minigrain 00</t>
  </si>
  <si>
    <t>Крошка кварцевая 0.7-1.2</t>
  </si>
  <si>
    <t>Крошка кварцевая 1.0-3.0</t>
  </si>
  <si>
    <t>Мука R-10 (меш)</t>
  </si>
  <si>
    <t>Мука R-300 (биг-бег)</t>
  </si>
  <si>
    <t>Мука R-300 (меш)</t>
  </si>
  <si>
    <t>Мука R-4 (меш)</t>
  </si>
  <si>
    <t>Мука R-6 (биг-бег)</t>
  </si>
  <si>
    <t>Мука R-6 (меш)</t>
  </si>
  <si>
    <t>ПБ-150-1 (меш)</t>
  </si>
  <si>
    <t>Пегматит FFP 45</t>
  </si>
  <si>
    <t>Пегматит FFP 800</t>
  </si>
  <si>
    <t>Песок кварц фракц 0,3-0,8 (биг-бег)</t>
  </si>
  <si>
    <t>Песок кварц фракц 0,8-1,2 (биг-бег)</t>
  </si>
  <si>
    <t>Песок кварц фракц 0,85-1,7 (биг-бег)</t>
  </si>
  <si>
    <t>Песок кварц фракц 1,0-2,0 (биг-бег)</t>
  </si>
  <si>
    <t>Песок кварцевый GA39</t>
  </si>
  <si>
    <t xml:space="preserve">Шары мелющие Alubit </t>
  </si>
  <si>
    <t>Шары мелющие Alubit Leonardo C</t>
  </si>
  <si>
    <t>Шары мелющие Alubit Leonardo CW</t>
  </si>
  <si>
    <t>Шпат полевой  ESF504(1)-700</t>
  </si>
  <si>
    <t>Шпат полевой 1010</t>
  </si>
  <si>
    <t>Шпат полевой 1040</t>
  </si>
  <si>
    <t>Шпат полевой ESF501 CGG</t>
  </si>
  <si>
    <t>Шпат полевой ESF501 TSG</t>
  </si>
  <si>
    <t>Шпат полевой FFF K6 60</t>
  </si>
  <si>
    <t>Шпат полевой FFF K8 (2) 500</t>
  </si>
  <si>
    <t>Шпат полевой FFF К8 500</t>
  </si>
  <si>
    <t>Шпат полевой Unispar PG7</t>
  </si>
  <si>
    <t>Хантсман-НМГ</t>
  </si>
  <si>
    <t>yu_kozlova@huntsman-nmg.com</t>
  </si>
  <si>
    <t>Экопол</t>
  </si>
  <si>
    <t>nnoskov@mail.ru</t>
  </si>
  <si>
    <t>Пластик-Строймаркет</t>
  </si>
  <si>
    <t>kotenok82.18@mail.ru</t>
  </si>
  <si>
    <t>СК Полибилд</t>
  </si>
  <si>
    <t>klin@polybuild.net, aralov@polybuild.net</t>
  </si>
  <si>
    <t>Вега</t>
  </si>
  <si>
    <t>sngvega@mail.ru</t>
  </si>
  <si>
    <t>БелХимТрейд</t>
  </si>
  <si>
    <t>snab@mav.by</t>
  </si>
  <si>
    <t>Конкорд</t>
  </si>
  <si>
    <t>svetlana_konkord@mail.ru</t>
  </si>
  <si>
    <t>Хенкель Баутехник</t>
  </si>
  <si>
    <t>Svetlana.kudriavceva@ru.henkel.com, Nataliya.Ivanova@ru.henkel.com</t>
  </si>
  <si>
    <t>ТАРКЕТТ</t>
  </si>
  <si>
    <t>Andrey.Maslennikov@tarkett.com, Elena.Nazaikinskaya@tarkett.com</t>
  </si>
  <si>
    <t>Рока Рус</t>
  </si>
  <si>
    <t>ИнтерТранс</t>
  </si>
  <si>
    <t>anton.zhuklinets@ru.roca.com</t>
  </si>
  <si>
    <t>Ласселсбергер</t>
  </si>
  <si>
    <t>Ilshat.Shakirov@ru.lasselsberger.com</t>
  </si>
  <si>
    <t>Песок кварц фракц 0,8-2,0</t>
  </si>
  <si>
    <t>Русджам Стекло</t>
  </si>
  <si>
    <t>Предприятие ВР</t>
  </si>
  <si>
    <t>vesta-vr@mail.ru</t>
  </si>
  <si>
    <t>Мефферт Продакшн</t>
  </si>
  <si>
    <t>brunova.n@meffert.ru, e.shaporova@meffert.ru</t>
  </si>
  <si>
    <t>ИП Гусаров Виталий Валерьевич</t>
  </si>
  <si>
    <t>otk1@color-style.ru</t>
  </si>
  <si>
    <t>Silverbond 20 (меш)</t>
  </si>
  <si>
    <t>Silverbond 15 (меш)</t>
  </si>
  <si>
    <t>Silverbond 50 (меш)</t>
  </si>
  <si>
    <t>Silverbond 30 (меш)</t>
  </si>
  <si>
    <t>Silverbond 50EW (меш)</t>
  </si>
  <si>
    <t>Современные строительные технологии</t>
  </si>
  <si>
    <t>dernova@praspan.ru</t>
  </si>
  <si>
    <t>Silverbond 50 (биг-бег)</t>
  </si>
  <si>
    <t>Silverbond 15 (биг-бег)</t>
  </si>
  <si>
    <t>Silverbond 20 (биг-бег)</t>
  </si>
  <si>
    <t>Silverbond 30 (биг-бег)</t>
  </si>
  <si>
    <t>Silverbond 50EW (биг-бег)</t>
  </si>
  <si>
    <t>НПЦ Металлург</t>
  </si>
  <si>
    <t>skuratova@metaenergy.ru</t>
  </si>
  <si>
    <t>ГранМикс</t>
  </si>
  <si>
    <t>eurotechmet@yandex.ru</t>
  </si>
  <si>
    <t>Цементные технологии</t>
  </si>
  <si>
    <t>snab@cemteh.ru</t>
  </si>
  <si>
    <t>НовТехСтрой</t>
  </si>
  <si>
    <t>ИП Межуев Александр Васильевич</t>
  </si>
  <si>
    <t>stroy-dvor2009@mail.ru</t>
  </si>
  <si>
    <t>НПЦ АвиаЛит</t>
  </si>
  <si>
    <t>jurin@avialit.com</t>
  </si>
  <si>
    <t>Кучинский Керамический Завод-1</t>
  </si>
  <si>
    <t>Стройновкомплект</t>
  </si>
  <si>
    <t>rodion.avilov@mail.ru</t>
  </si>
  <si>
    <t>Феникс</t>
  </si>
  <si>
    <t>88888888q@bk.ru, galimov.phoenix@yandex.ru</t>
  </si>
  <si>
    <t>РБП</t>
  </si>
  <si>
    <t>logist@rbp-group.ru</t>
  </si>
  <si>
    <t>Биттекс-М</t>
  </si>
  <si>
    <t>elena-bitex@mail.ru</t>
  </si>
  <si>
    <t>ПО Одинцово</t>
  </si>
  <si>
    <t>snab@po-odintsovo.ru, info@po-odintsovo.ru</t>
  </si>
  <si>
    <t>Стелла-Память</t>
  </si>
  <si>
    <t>stella-pamyat@mail.ru</t>
  </si>
  <si>
    <t>Строй-Конструкция</t>
  </si>
  <si>
    <t>dkosov@urbgroup.ru</t>
  </si>
  <si>
    <t>Техно Лит</t>
  </si>
  <si>
    <t>oootechnolit@mail.ru</t>
  </si>
  <si>
    <t>ПАРДУС</t>
  </si>
  <si>
    <t>sveta@chelsea.ru</t>
  </si>
  <si>
    <t>Бобруйский машиностроительный завод</t>
  </si>
  <si>
    <t>ПромРесурс</t>
  </si>
  <si>
    <t>promres07@mail.ru</t>
  </si>
  <si>
    <t>КЕРАМИКА</t>
  </si>
  <si>
    <t>nikitina.olga@santek.ru</t>
  </si>
  <si>
    <t>НПХ ВМП</t>
  </si>
  <si>
    <t>snab1@fmp.ru, gert@fmp.ru</t>
  </si>
  <si>
    <t>КЛЮКЕР</t>
  </si>
  <si>
    <t>Орфей</t>
  </si>
  <si>
    <t>kl.ceramica@mail.ru, galiya_@mail.ru</t>
  </si>
  <si>
    <t>Mangalox H25</t>
  </si>
  <si>
    <t>Рузаевский Стекольный Завод</t>
  </si>
  <si>
    <t>tyapaikin@ruzsteklo.ru, gausheva@ruzsteklo.ru</t>
  </si>
  <si>
    <t>СВЕТ</t>
  </si>
  <si>
    <t>ozeconom2@zavodsvet.ru</t>
  </si>
  <si>
    <t>Комплект</t>
  </si>
  <si>
    <t>ooo_ctk_2010@mail.ru</t>
  </si>
  <si>
    <t>Гжельский завод Электроизолятор</t>
  </si>
  <si>
    <t>tagiltsev@irito.ru</t>
  </si>
  <si>
    <t xml:space="preserve">Шпат полевой FFF K8 60 </t>
  </si>
  <si>
    <t>Центр-Керамика</t>
  </si>
  <si>
    <t>ck-snab@mail.ru</t>
  </si>
  <si>
    <t>Лобненский завод строительного фарфора</t>
  </si>
  <si>
    <t>snab@lzsf.ru, rose@lzsf.ru</t>
  </si>
  <si>
    <t>ОСМиБТ</t>
  </si>
  <si>
    <t>volohov@osmbt.ru</t>
  </si>
  <si>
    <t>Гончар-КА</t>
  </si>
  <si>
    <t>gonchar-ka@mail.ru</t>
  </si>
  <si>
    <t>Евро-Керамика</t>
  </si>
  <si>
    <t>svetaterentieva@mail.ru</t>
  </si>
  <si>
    <t>Трансстроминвест</t>
  </si>
  <si>
    <t>stal0311@mail.ru</t>
  </si>
  <si>
    <t>СТК Магистраль</t>
  </si>
  <si>
    <t>projects@stk-magistral.ru, buh@stk-magistral.ru</t>
  </si>
  <si>
    <t>ЗКС</t>
  </si>
  <si>
    <t>import.zks@gmail.com</t>
  </si>
  <si>
    <t>Глина ЛТ-К3Т (биг-бег)</t>
  </si>
  <si>
    <t>Торговый дом Камей</t>
  </si>
  <si>
    <t>kamay36@mail.ru</t>
  </si>
  <si>
    <t>Общий итог</t>
  </si>
  <si>
    <t>Контроль</t>
  </si>
  <si>
    <t>С уважением, Татьяна Карасева</t>
  </si>
  <si>
    <t>Сохраните данный файл в любой определенной папке на своем компьютере.</t>
  </si>
  <si>
    <t>Сохраните файл с заявкой и отправьте его по электронной почте строго по обратному адресу.</t>
  </si>
  <si>
    <t>Отправляте заявку как ответ на полученное письмо, сохраняя заголовок письма, т.к. он является ключем поиска при автоматической обработке почты.</t>
  </si>
  <si>
    <t>Нортекс</t>
  </si>
  <si>
    <t>123@2254440.ru</t>
  </si>
  <si>
    <t>Сириус</t>
  </si>
  <si>
    <t>e.ionova@tritoncolor.ru</t>
  </si>
  <si>
    <t>ПолимерДизайн</t>
  </si>
  <si>
    <t>zakaz-info1@mail.ru</t>
  </si>
  <si>
    <t>ТВСЗ</t>
  </si>
  <si>
    <t>dnikeshin@tvsz.ru</t>
  </si>
  <si>
    <t>1К1О2025 (биг-бег)</t>
  </si>
  <si>
    <t>Рубин</t>
  </si>
  <si>
    <t>ИП Васильев</t>
  </si>
  <si>
    <t>akrubin1@yandex.ru</t>
  </si>
  <si>
    <t>Ремикс</t>
  </si>
  <si>
    <t>mrybalova@re-mix.ru</t>
  </si>
  <si>
    <t>Интокаст Рус</t>
  </si>
  <si>
    <t>intocast-rus-j@ya.ru</t>
  </si>
  <si>
    <t>Vanguard M90</t>
  </si>
  <si>
    <t>Кералит</t>
  </si>
  <si>
    <t>Kirill.Irbetkin@keralit.com</t>
  </si>
  <si>
    <t>ЭСАБ-СВЭЛ</t>
  </si>
  <si>
    <t>vera.veselova@esab.se</t>
  </si>
  <si>
    <t>Родонит</t>
  </si>
  <si>
    <t>АйБиСи</t>
  </si>
  <si>
    <t>m.korroy@rodonit.spb.ru</t>
  </si>
  <si>
    <t>ВМП</t>
  </si>
  <si>
    <t>snab1@fmp.ru</t>
  </si>
  <si>
    <t>Акинфий</t>
  </si>
  <si>
    <t>labstone@mail.ru</t>
  </si>
  <si>
    <t>СпецТехМеханика</t>
  </si>
  <si>
    <t>alfatexspb@mail.ru</t>
  </si>
  <si>
    <t>Стальконструкция</t>
  </si>
  <si>
    <t>475639tatyana@gmail.com</t>
  </si>
  <si>
    <t>ПетроСтрой</t>
  </si>
  <si>
    <t>petrostm@mail.ru</t>
  </si>
  <si>
    <t>ЗаводТехнологическойХимии</t>
  </si>
  <si>
    <t>alexander@prom-steklo.ru</t>
  </si>
  <si>
    <t>ДЕЛЬТАХИМ</t>
  </si>
  <si>
    <t>oleg.chumin@deltachem.ru</t>
  </si>
  <si>
    <t>Керафлекс-Центр</t>
  </si>
  <si>
    <t>info@lmt-stroy.ru</t>
  </si>
  <si>
    <t xml:space="preserve">Песчаник </t>
  </si>
  <si>
    <t>Cerasil 50</t>
  </si>
  <si>
    <t>romasheva@vlando.ru, ionov@vlando.ru</t>
  </si>
  <si>
    <t>karzeeva@steklostandart.ru</t>
  </si>
  <si>
    <t>o.barishnikova@cersanit.ru, i.samsonov@cersanit.ru</t>
  </si>
  <si>
    <t>Sibelco Europe:  НАПОМИНАНИЕ о заявке на поставку продукции</t>
  </si>
  <si>
    <t>Ждем вашей заявки на следующий месяц и прогноза потребления на 2 последующих месяца.</t>
  </si>
  <si>
    <t>kochetkov@glims.ru</t>
  </si>
  <si>
    <t>Oleg.Dryakhlov@rimera.com</t>
  </si>
  <si>
    <t>RA@bolars.ru</t>
  </si>
  <si>
    <t>GBURNASHEVA@ruscam.ru, SABLYAZOV@ruscam.ru</t>
  </si>
  <si>
    <t>DMartyshko@teploset.ru</t>
  </si>
  <si>
    <t>d.pichugin@dellakeramika.ru,kornilov@dellaceramica.ru</t>
  </si>
  <si>
    <t>omtskreho@yandex.ru</t>
  </si>
  <si>
    <t>ivansnabjenie@mail.ru</t>
  </si>
  <si>
    <t>Файл можно открыть любой программой Excel, начиная с версии 2007 года.</t>
  </si>
  <si>
    <t>Если файл не открывается, то скорре всего на вашем компьютере старая версия Excel. Сообщите нам об этом.</t>
  </si>
  <si>
    <t>Во вложенном Excel файле "бланк" заявки и инструкция (на отдельном листе).</t>
  </si>
  <si>
    <t>Руководитель отдела клиентского сервиса ООО "Сибелко Рус"</t>
  </si>
  <si>
    <t>РНК</t>
  </si>
  <si>
    <t>rus.endeka@gmail.com</t>
  </si>
  <si>
    <t>УХП</t>
  </si>
  <si>
    <t>a.damer@uhp.ru</t>
  </si>
  <si>
    <t>СВХК</t>
  </si>
  <si>
    <t>КераминСП</t>
  </si>
  <si>
    <t>Silantieva@ksp.keramir.com</t>
  </si>
  <si>
    <t>marketing@svhk.ru</t>
  </si>
  <si>
    <t>Эсмальгласс-Итака Русия</t>
  </si>
  <si>
    <t>rur-purchase@esmalglass-itaca.com</t>
  </si>
  <si>
    <t>Керамика Гжели</t>
  </si>
  <si>
    <t>sales@ceramgzhel.ru</t>
  </si>
  <si>
    <t>ХИМЭКС Лимитед</t>
  </si>
  <si>
    <t>juliya@chimex.sp.ru</t>
  </si>
  <si>
    <t>Кварцверке ТД</t>
  </si>
  <si>
    <t>martynov@qwvostok.ru</t>
  </si>
  <si>
    <t>От Вас НЕ ПОЛУЧЕНА ЗАЯВКА на поставку продукции на следующий месяц.</t>
  </si>
  <si>
    <t>a.sha0128@yandex.ru</t>
  </si>
  <si>
    <t>economist-2@9jn.ru</t>
  </si>
  <si>
    <t>Yulia.Zhirnova@spglass.ru,  Mikhail.Syroporshnev@spglass.ru</t>
  </si>
  <si>
    <t>Гермес</t>
  </si>
  <si>
    <t xml:space="preserve"> inform-link@mail.ru</t>
  </si>
  <si>
    <t>Компания Пиастрелла</t>
  </si>
  <si>
    <t>snab@piastrella-gres.ru</t>
  </si>
  <si>
    <t>ИП Устенко</t>
  </si>
  <si>
    <t>info@litart.ru</t>
  </si>
  <si>
    <t>Portaflame SG40</t>
  </si>
  <si>
    <t>310@batolit.ru, office@batolit.ru, vladislav.buravlev@batolit.ru</t>
  </si>
  <si>
    <t>Кронос-спб</t>
  </si>
  <si>
    <t>snab-kronos-spb@ya.ru</t>
  </si>
  <si>
    <t>СВО</t>
  </si>
  <si>
    <t>virko18@yahoo.com</t>
  </si>
  <si>
    <t>Диалар</t>
  </si>
  <si>
    <t>zel2104@gmail.com</t>
  </si>
  <si>
    <t>Волгоградский керамический завод</t>
  </si>
  <si>
    <t>peskovaev.vkz@yandex.ru</t>
  </si>
  <si>
    <t>Svetlana.Maskaeva@eu.agc-flatglass.com, Elena.Akifjeva@eu.agc.com</t>
  </si>
  <si>
    <t>Sibelco Europe: заявка на поставку продукции</t>
  </si>
  <si>
    <t>Текст заголовка письма "Sibelco Europe: заявка на поставку продукции" будет служить ключом для автоматического распознавания писем с заявками.</t>
  </si>
  <si>
    <t>a.romanovskiy@mapei.ru, info@mapei.ru</t>
  </si>
  <si>
    <t>Мука R-10 EW</t>
  </si>
  <si>
    <t>Мука R-300 EW</t>
  </si>
  <si>
    <t>Мука R-6 EW</t>
  </si>
  <si>
    <t>Silverbond 15 EW</t>
  </si>
  <si>
    <t>Silverbond 20 EW</t>
  </si>
  <si>
    <t>Silverbond 30 EW</t>
  </si>
  <si>
    <t>Juriy.Pogodin@saint-gobain.com, Stepan.Popov@saint-gobain.com</t>
  </si>
  <si>
    <t>Убедительно просим Вас подготовить заявку и переслать по обратному адресу не позднее 19-го числа текущего месяца.</t>
  </si>
  <si>
    <t>Перейдите в этом файле на лист "Заявка" и введите значения в тоннах в колонках B, C и D (напротив заказываемых продуктов). Вводите в ячейки ТОЛЬКО ЦЕЛЫЕ ЧИСЛА!</t>
  </si>
  <si>
    <t>Пояснение 3: Не меняйте структуру файла, не меняйте заголовок, таблицы. Это может привести к сбою при автоматической обработке вашего письма.</t>
  </si>
  <si>
    <t>НТЦ ЭВЕРЕСТ</t>
  </si>
  <si>
    <t>stc.everest@gmail.com</t>
  </si>
  <si>
    <t>Ногинский комбинат строительных изделий</t>
  </si>
  <si>
    <t>ДАЙМИО</t>
  </si>
  <si>
    <t>СпецТрест</t>
  </si>
  <si>
    <t>olesya.0903@mail.ru</t>
  </si>
  <si>
    <t>ВДВМ</t>
  </si>
  <si>
    <t>kds2002@mail.ru</t>
  </si>
  <si>
    <t>Убедительно просим Вас сформировать заявку строго в этом файле (не изменяя его структуру).</t>
  </si>
  <si>
    <t>Важно! Заявку нужно отправлять СТРОГО в ответ на письмо-запрос от 15-го числа (а не на это письмо).</t>
  </si>
  <si>
    <t>Вводите в ячейки ТОЛЬКО ЦЕЛЫЕ ЧИСЛА!</t>
  </si>
  <si>
    <t>Файл с заявкой нужо отправлять СТРОГО как ответ на это письмо с запросом (т.е. на адрес Tatyana.Karaseva@sibelco.com ), СОХРАНЯЯ ЗАГОЛОВОК ПИСЬМА "Sibelco Europe: заявка на поставку продукции" неизменным (это ключ распознавания).</t>
  </si>
  <si>
    <t>В письме-запросе с заголовом "Sibelco Europe: заявка на поставку продукции..." есть инструкция, которой нужно следовать.</t>
  </si>
  <si>
    <t>Просим Вас подготовить и переслать заявку не позднее 17 числа текущего месяца.</t>
  </si>
  <si>
    <t>mik2647@rambler.ru</t>
  </si>
  <si>
    <t>Ранее в ваш адрес был выслан запрос на заявку (письмо с заголовком "Sibelco Europe:  заявка на поставку продукции..." от 15-числа текущего месяца, около 16:50).</t>
  </si>
  <si>
    <t xml:space="preserve"> ЛЗСМиК</t>
  </si>
  <si>
    <t>lzsmik73@mail.ru</t>
  </si>
  <si>
    <t>Buned.Gaibnazarov@Vitra-Russia.ru, irina.beylina@vitra-russia.ru</t>
  </si>
  <si>
    <t>НЕДРИКС</t>
  </si>
  <si>
    <t>nedriks@bk.ru, 123@riksgroup.ru</t>
  </si>
  <si>
    <t>Песок природный</t>
  </si>
  <si>
    <t>Завод керамических изделий</t>
  </si>
  <si>
    <t>tov@uralceramica.ru</t>
  </si>
  <si>
    <t>ООО «Сибелко Рус» просит Вас предоставить заявку на поставку в следующем месяце (апрель) и дать ориентировочный прогноз потребления на 2 последующих месяца (май, июнь).</t>
  </si>
  <si>
    <t>Elena.markina@owenscorning.com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</si>
</sst>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b/>
      <sz val="9"/>
      <color rgb="FF002060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b/>
      <sz val="8"/>
      <color rgb="FF00206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b/>
      <sz val="9"/>
      <color rgb="FF002060"/>
      <name val="Calibri"/>
      <family val="2"/>
      <charset val="204"/>
      <scheme val="minor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  <family val="1"/>
      <charset val="204"/>
    </font>
    <font>
      <sz val="10"/>
      <color rgb="FF002060"/>
      <name val="Century"/>
    </font>
  </fonts>
  <fills count="4">
    <fill>
      <patternFill patternType="none"/>
    </fill>
    <fill>
      <patternFill patternType="gray125"/>
    </fill>
    <fill>
      <patternFill patternType="solid">
        <fgColor rgb="FFEFFFFB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4">
    <xf numFmtId="0" fontId="0" fillId="0" borderId="0" xfId="0"/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2" xfId="0" applyNumberFormat="1" applyFont="1" applyFill="1" applyBorder="1" applyAlignment="1">
      <alignment horizontal="left" vertical="center" wrapText="1"/>
    </xf>
    <xf numFmtId="0" fontId="3" fillId="2" borderId="2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4" fillId="3" borderId="9" xfId="0" applyNumberFormat="1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2" fillId="3" borderId="9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1" fontId="1" fillId="2" borderId="11" xfId="0" applyNumberFormat="1" applyFont="1" applyFill="1" applyBorder="1" applyAlignment="1">
      <alignment horizontal="center" vertical="center" wrapText="1"/>
    </xf>
    <xf numFmtId="1" fontId="1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8" fillId="2" borderId="2" xfId="0" applyNumberFormat="1" applyFont="1" applyFill="1" applyBorder="1" applyAlignment="1">
      <alignment horizontal="left" vertical="center" wrapText="1"/>
    </xf>
    <xf numFmtId="0" fontId="8" fillId="2" borderId="4" xfId="0" applyNumberFormat="1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0" fontId="9" fillId="3" borderId="11" xfId="0" applyFont="1" applyFill="1" applyBorder="1" applyAlignment="1">
      <alignment horizontal="center" vertical="center" wrapText="1"/>
    </xf>
    <xf numFmtId="1" fontId="2" fillId="3" borderId="9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left" vertical="center" wrapText="1"/>
    </xf>
    <xf numFmtId="0" fontId="3" fillId="2" borderId="5" xfId="0" applyNumberFormat="1" applyFont="1" applyFill="1" applyBorder="1" applyAlignment="1">
      <alignment horizontal="left" vertical="center" wrapText="1"/>
    </xf>
    <xf numFmtId="1" fontId="1" fillId="2" borderId="5" xfId="0" applyNumberFormat="1" applyFont="1" applyFill="1" applyBorder="1" applyAlignment="1">
      <alignment horizontal="center" vertical="center" wrapText="1"/>
    </xf>
    <xf numFmtId="0" fontId="2" fillId="3" borderId="11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left" vertical="center"/>
    </xf>
    <xf numFmtId="0" fontId="8" fillId="2" borderId="2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1" xfId="0" applyNumberFormat="1" applyFont="1" applyFill="1" applyBorder="1" applyAlignment="1">
      <alignment horizontal="left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8" fillId="2" borderId="5" xfId="0" applyNumberFormat="1" applyFont="1" applyFill="1" applyBorder="1" applyAlignment="1">
      <alignment horizontal="left" vertical="center" wrapText="1"/>
    </xf>
    <xf numFmtId="1" fontId="8" fillId="2" borderId="5" xfId="0" applyNumberFormat="1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left" vertical="center"/>
    </xf>
    <xf numFmtId="0" fontId="9" fillId="3" borderId="10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0" fontId="8" fillId="2" borderId="6" xfId="0" applyFont="1" applyFill="1" applyBorder="1" applyAlignment="1">
      <alignment horizontal="left" vertical="center"/>
    </xf>
    <xf numFmtId="0" fontId="0" fillId="0" borderId="0" xfId="0" pivotButton="1"/>
    <xf numFmtId="0" fontId="4" fillId="3" borderId="9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7" fillId="2" borderId="1" xfId="1" applyNumberForma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left" vertical="center"/>
    </xf>
    <xf numFmtId="0" fontId="3" fillId="2" borderId="4" xfId="0" applyNumberFormat="1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left" vertical="center" wrapText="1"/>
    </xf>
    <xf numFmtId="0" fontId="10" fillId="2" borderId="2" xfId="0" applyNumberFormat="1" applyFont="1" applyFill="1" applyBorder="1" applyAlignment="1">
      <alignment horizontal="left" vertical="center" wrapText="1"/>
    </xf>
    <xf numFmtId="0" fontId="10" fillId="2" borderId="1" xfId="0" applyNumberFormat="1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1" fillId="2" borderId="3" xfId="0" applyNumberFormat="1" applyFont="1" applyFill="1" applyBorder="1" applyAlignment="1">
      <alignment horizontal="left" vertical="center"/>
    </xf>
    <xf numFmtId="0" fontId="11" fillId="2" borderId="2" xfId="0" applyNumberFormat="1" applyFont="1" applyFill="1" applyBorder="1" applyAlignment="1">
      <alignment horizontal="left" vertical="center"/>
    </xf>
    <xf numFmtId="0" fontId="11" fillId="2" borderId="1" xfId="0" applyNumberFormat="1" applyFont="1" applyFill="1" applyBorder="1" applyAlignment="1">
      <alignment horizontal="left" vertical="center" wrapText="1"/>
    </xf>
    <xf numFmtId="0" fontId="11" fillId="2" borderId="3" xfId="0" applyNumberFormat="1" applyFont="1" applyFill="1" applyBorder="1" applyAlignment="1">
      <alignment horizontal="left" vertical="center"/>
    </xf>
    <xf numFmtId="0" fontId="11" fillId="2" borderId="5" xfId="0" applyNumberFormat="1" applyFont="1" applyFill="1" applyBorder="1" applyAlignment="1">
      <alignment horizontal="left" vertical="center" wrapText="1"/>
    </xf>
    <xf numFmtId="0" fontId="11" fillId="2" borderId="2" xfId="0" applyNumberFormat="1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1" fontId="11" fillId="2" borderId="1" xfId="0" applyNumberFormat="1" applyFont="1" applyFill="1" applyBorder="1" applyAlignment="1">
      <alignment horizontal="center" vertical="center" wrapText="1"/>
    </xf>
    <xf numFmtId="0" fontId="11" fillId="2" borderId="4" xfId="0" applyNumberFormat="1" applyFont="1" applyFill="1" applyBorder="1" applyAlignment="1">
      <alignment horizontal="left" vertical="center" wrapText="1"/>
    </xf>
    <xf numFmtId="0" fontId="11" fillId="2" borderId="5" xfId="0" applyFont="1" applyFill="1" applyBorder="1" applyAlignment="1">
      <alignment horizontal="left" vertical="center" wrapText="1"/>
    </xf>
    <xf numFmtId="1" fontId="11" fillId="2" borderId="5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4" xfId="0" applyNumberFormat="1" applyFont="1" applyFill="1" applyBorder="1" applyAlignment="1">
      <alignment horizontal="left" vertical="center" wrapText="1"/>
    </xf>
    <xf numFmtId="0" fontId="1" fillId="2" borderId="5" xfId="0" applyNumberFormat="1" applyFont="1" applyFill="1" applyBorder="1" applyAlignment="1">
      <alignment horizontal="left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7" fillId="2" borderId="5" xfId="1" applyNumberFormat="1" applyFill="1" applyBorder="1" applyAlignment="1">
      <alignment horizontal="left" vertical="center" wrapText="1"/>
    </xf>
    <xf numFmtId="0" fontId="12" fillId="2" borderId="1" xfId="0" applyNumberFormat="1" applyFont="1" applyFill="1" applyBorder="1" applyAlignment="1">
      <alignment horizontal="left" vertical="center" wrapText="1"/>
    </xf>
    <xf numFmtId="0" fontId="12" fillId="2" borderId="3" xfId="0" applyNumberFormat="1" applyFont="1" applyFill="1" applyBorder="1" applyAlignment="1">
      <alignment horizontal="left" vertical="center"/>
    </xf>
    <xf numFmtId="0" fontId="12" fillId="2" borderId="2" xfId="0" applyNumberFormat="1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2" fillId="2" borderId="4" xfId="0" applyNumberFormat="1" applyFont="1" applyFill="1" applyBorder="1" applyAlignment="1">
      <alignment horizontal="left" vertical="center" wrapText="1"/>
    </xf>
    <xf numFmtId="0" fontId="12" fillId="2" borderId="5" xfId="0" applyNumberFormat="1" applyFont="1" applyFill="1" applyBorder="1" applyAlignment="1">
      <alignment horizontal="left" vertical="center" wrapText="1"/>
    </xf>
    <xf numFmtId="0" fontId="12" fillId="2" borderId="5" xfId="0" applyFont="1" applyFill="1" applyBorder="1" applyAlignment="1">
      <alignment horizontal="left" vertical="center" wrapText="1"/>
    </xf>
    <xf numFmtId="0" fontId="1" fillId="2" borderId="2" xfId="0" applyNumberFormat="1" applyFont="1" applyFill="1" applyBorder="1" applyAlignment="1">
      <alignment horizontal="left" vertical="center"/>
    </xf>
    <xf numFmtId="0" fontId="8" fillId="2" borderId="4" xfId="0" applyNumberFormat="1" applyFont="1" applyFill="1" applyBorder="1" applyAlignment="1">
      <alignment horizontal="left" vertical="center"/>
    </xf>
    <xf numFmtId="0" fontId="12" fillId="2" borderId="2" xfId="0" applyNumberFormat="1" applyFont="1" applyFill="1" applyBorder="1" applyAlignment="1">
      <alignment horizontal="left" vertical="center"/>
    </xf>
    <xf numFmtId="0" fontId="14" fillId="2" borderId="2" xfId="0" applyNumberFormat="1" applyFont="1" applyFill="1" applyBorder="1" applyAlignment="1">
      <alignment horizontal="left" vertical="center"/>
    </xf>
    <xf numFmtId="0" fontId="14" fillId="2" borderId="1" xfId="0" applyNumberFormat="1" applyFont="1" applyFill="1" applyBorder="1" applyAlignment="1">
      <alignment horizontal="left" vertical="center" wrapText="1"/>
    </xf>
    <xf numFmtId="0" fontId="14" fillId="2" borderId="3" xfId="0" applyNumberFormat="1" applyFont="1" applyFill="1" applyBorder="1" applyAlignment="1">
      <alignment horizontal="left" vertical="center"/>
    </xf>
    <xf numFmtId="0" fontId="14" fillId="2" borderId="4" xfId="0" applyNumberFormat="1" applyFont="1" applyFill="1" applyBorder="1" applyAlignment="1">
      <alignment horizontal="left" vertical="center" wrapText="1"/>
    </xf>
    <xf numFmtId="0" fontId="14" fillId="2" borderId="5" xfId="0" applyNumberFormat="1" applyFont="1" applyFill="1" applyBorder="1" applyAlignment="1">
      <alignment horizontal="left" vertical="center" wrapText="1"/>
    </xf>
    <xf numFmtId="1" fontId="14" fillId="2" borderId="5" xfId="0" applyNumberFormat="1" applyFont="1" applyFill="1" applyBorder="1" applyAlignment="1">
      <alignment horizontal="center" vertical="center" wrapText="1"/>
    </xf>
    <xf numFmtId="0" fontId="14" fillId="2" borderId="2" xfId="0" applyNumberFormat="1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left" vertical="center" wrapText="1"/>
    </xf>
    <xf numFmtId="1" fontId="3" fillId="2" borderId="5" xfId="0" applyNumberFormat="1" applyFont="1" applyFill="1" applyBorder="1" applyAlignment="1">
      <alignment horizontal="center" vertical="center" wrapText="1"/>
    </xf>
    <xf numFmtId="1" fontId="15" fillId="2" borderId="2" xfId="0" applyNumberFormat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 wrapText="1"/>
    </xf>
    <xf numFmtId="0" fontId="15" fillId="2" borderId="2" xfId="0" applyNumberFormat="1" applyFont="1" applyFill="1" applyBorder="1" applyAlignment="1">
      <alignment horizontal="left" vertical="center" wrapText="1"/>
    </xf>
    <xf numFmtId="0" fontId="15" fillId="2" borderId="1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left" vertical="center" wrapText="1"/>
    </xf>
    <xf numFmtId="1" fontId="15" fillId="2" borderId="1" xfId="0" applyNumberFormat="1" applyFont="1" applyFill="1" applyBorder="1" applyAlignment="1">
      <alignment horizontal="center" vertical="center" wrapText="1"/>
    </xf>
    <xf numFmtId="0" fontId="15" fillId="2" borderId="3" xfId="0" applyNumberFormat="1" applyFont="1" applyFill="1" applyBorder="1" applyAlignment="1">
      <alignment horizontal="left" vertical="center"/>
    </xf>
    <xf numFmtId="1" fontId="1" fillId="2" borderId="1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left" vertical="center" wrapText="1"/>
    </xf>
    <xf numFmtId="0" fontId="11" fillId="2" borderId="16" xfId="0" applyFont="1" applyFill="1" applyBorder="1" applyAlignment="1">
      <alignment horizontal="left" vertical="center" wrapText="1"/>
    </xf>
    <xf numFmtId="0" fontId="13" fillId="2" borderId="15" xfId="0" applyFont="1" applyFill="1" applyBorder="1" applyAlignment="1">
      <alignment horizontal="left"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 wrapText="1"/>
    </xf>
    <xf numFmtId="1" fontId="2" fillId="3" borderId="10" xfId="0" applyNumberFormat="1" applyFont="1" applyFill="1" applyBorder="1" applyAlignment="1">
      <alignment horizontal="center" vertical="center" wrapText="1"/>
    </xf>
    <xf numFmtId="1" fontId="11" fillId="2" borderId="3" xfId="0" applyNumberFormat="1" applyFont="1" applyFill="1" applyBorder="1" applyAlignment="1">
      <alignment horizontal="center" vertical="center" wrapText="1"/>
    </xf>
    <xf numFmtId="1" fontId="1" fillId="2" borderId="3" xfId="0" applyNumberFormat="1" applyFont="1" applyFill="1" applyBorder="1" applyAlignment="1">
      <alignment horizontal="center" vertical="center" wrapText="1"/>
    </xf>
    <xf numFmtId="1" fontId="14" fillId="2" borderId="3" xfId="0" applyNumberFormat="1" applyFont="1" applyFill="1" applyBorder="1" applyAlignment="1">
      <alignment horizontal="center" vertical="center" wrapText="1"/>
    </xf>
    <xf numFmtId="1" fontId="11" fillId="2" borderId="6" xfId="0" applyNumberFormat="1" applyFont="1" applyFill="1" applyBorder="1" applyAlignment="1">
      <alignment horizontal="center" vertical="center" wrapText="1"/>
    </xf>
    <xf numFmtId="1" fontId="2" fillId="3" borderId="13" xfId="0" applyNumberFormat="1" applyFont="1" applyFill="1" applyBorder="1" applyAlignment="1">
      <alignment horizontal="center" vertical="center" wrapText="1"/>
    </xf>
    <xf numFmtId="1" fontId="11" fillId="2" borderId="17" xfId="0" applyNumberFormat="1" applyFont="1" applyFill="1" applyBorder="1" applyAlignment="1">
      <alignment horizontal="center" vertical="center" wrapText="1"/>
    </xf>
    <xf numFmtId="1" fontId="13" fillId="2" borderId="1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" fontId="3" fillId="2" borderId="3" xfId="0" applyNumberFormat="1" applyFont="1" applyFill="1" applyBorder="1" applyAlignment="1">
      <alignment horizontal="center" vertical="center" wrapText="1"/>
    </xf>
    <xf numFmtId="1" fontId="3" fillId="2" borderId="6" xfId="0" applyNumberFormat="1" applyFont="1" applyFill="1" applyBorder="1" applyAlignment="1">
      <alignment horizontal="center" vertical="center" wrapText="1"/>
    </xf>
    <xf numFmtId="1" fontId="15" fillId="2" borderId="3" xfId="0" applyNumberFormat="1" applyFont="1" applyFill="1" applyBorder="1" applyAlignment="1">
      <alignment horizontal="center" vertical="center" wrapText="1"/>
    </xf>
    <xf numFmtId="1" fontId="1" fillId="2" borderId="6" xfId="0" applyNumberFormat="1" applyFont="1" applyFill="1" applyBorder="1" applyAlignment="1">
      <alignment horizontal="center" vertical="center" wrapText="1"/>
    </xf>
    <xf numFmtId="0" fontId="16" fillId="2" borderId="2" xfId="0" applyNumberFormat="1" applyFont="1" applyFill="1" applyBorder="1" applyAlignment="1">
      <alignment horizontal="left" vertical="center"/>
    </xf>
    <xf numFmtId="0" fontId="16" fillId="2" borderId="1" xfId="0" applyNumberFormat="1" applyFont="1" applyFill="1" applyBorder="1" applyAlignment="1">
      <alignment horizontal="left" vertical="center" wrapText="1"/>
    </xf>
    <xf numFmtId="0" fontId="16" fillId="2" borderId="3" xfId="0" applyNumberFormat="1" applyFont="1" applyFill="1" applyBorder="1" applyAlignment="1">
      <alignment horizontal="left" vertical="center"/>
    </xf>
    <xf numFmtId="0" fontId="16" fillId="2" borderId="5" xfId="0" applyNumberFormat="1" applyFont="1" applyFill="1" applyBorder="1" applyAlignment="1">
      <alignment horizontal="left" vertical="center" wrapText="1"/>
    </xf>
    <xf numFmtId="0" fontId="16" fillId="2" borderId="4" xfId="0" applyNumberFormat="1" applyFont="1" applyFill="1" applyBorder="1" applyAlignment="1">
      <alignment horizontal="left" vertical="center" wrapText="1"/>
    </xf>
    <xf numFmtId="0" fontId="16" fillId="2" borderId="5" xfId="0" applyFont="1" applyFill="1" applyBorder="1" applyAlignment="1">
      <alignment horizontal="left" vertical="center" wrapText="1"/>
    </xf>
    <xf numFmtId="1" fontId="16" fillId="2" borderId="5" xfId="0" applyNumberFormat="1" applyFont="1" applyFill="1" applyBorder="1" applyAlignment="1">
      <alignment horizontal="center" vertical="center" wrapText="1"/>
    </xf>
    <xf numFmtId="0" fontId="16" fillId="2" borderId="2" xfId="0" applyNumberFormat="1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1" fontId="16" fillId="2" borderId="1" xfId="0" applyNumberFormat="1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top style="thin">
          <color theme="4"/>
        </top>
      </border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1" formatCode="0"/>
      <fill>
        <patternFill patternType="solid">
          <fgColor indexed="64"/>
          <bgColor rgb="FFEFFFF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entury"/>
        <scheme val="none"/>
      </font>
      <numFmt numFmtId="0" formatCode="General"/>
      <fill>
        <patternFill patternType="solid">
          <fgColor indexed="64"/>
          <bgColor rgb="FFEFFFF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2060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лександр С. Пятков" refreshedDate="42411.499942708331" createdVersion="5" refreshedVersion="5" minRefreshableVersion="3" recordCount="451">
  <cacheSource type="worksheet">
    <worksheetSource name="Контракты"/>
  </cacheSource>
  <cacheFields count="4">
    <cacheField name="БЕ" numFmtId="0">
      <sharedItems count="4">
        <s v="ТД Геркулес"/>
        <s v="РГОК"/>
        <s v="ВРУ"/>
        <s v="НКУ"/>
      </sharedItems>
    </cacheField>
    <cacheField name="Клиент" numFmtId="0">
      <sharedItems count="219">
        <s v="Акзо Нобель Лакокраска"/>
        <s v="Акинфий"/>
        <s v="Алнас"/>
        <s v="АрхиДекор"/>
        <s v="АрхиСтиль"/>
        <s v="БАСФ Строительные системы"/>
        <s v="Батолит"/>
        <s v="БАУТЕК"/>
        <s v="БелХимТрейд"/>
        <s v="БИРСС-Менеджмент"/>
        <s v="Биттекс-М"/>
        <s v="Бобруйский машиностроительный завод"/>
        <s v="БСЗ"/>
        <s v="Буньковский Экспериментальный завод"/>
        <s v="Вега"/>
        <s v="ВерРус"/>
        <s v="Вертикаль Ремстрой"/>
        <s v="Витра Плитка"/>
        <s v="Витра Сантехника"/>
        <s v="ВМП"/>
        <s v="Волгоградский керамический завод"/>
        <s v="Волжский абразивный завод"/>
        <s v="Воронежский завод бытовой керамики"/>
        <s v="Воронежтрубопроводстрой"/>
        <s v="Гео Про Макс"/>
        <s v="ГеоСтиль"/>
        <s v="Гермес"/>
        <s v="Гжельский завод Электроизолятор"/>
        <s v="Гжельский кирпичный завод"/>
        <s v="ГК Дом"/>
        <s v="ГЛАСС ДЕКОР"/>
        <s v="Гласс Технолоджис"/>
        <s v="Голицынский керамический завод"/>
        <s v="Гончар-КА"/>
        <s v="ГранМикс"/>
        <s v="Губский кирпичный завод"/>
        <s v="ДАВ-Малино"/>
        <s v="ДАЙМИО"/>
        <s v="ДАРстрой"/>
        <s v="Дауер"/>
        <s v="Декор НПК"/>
        <s v="ДЕЛЬТАХИМ"/>
        <s v="Диалар"/>
        <s v="Евро-Керамика"/>
        <s v="ЕК Кемикал"/>
        <s v="Завод керамического кирпича"/>
        <s v="Завод Стекловолокна"/>
        <s v="ЗаводТехнологическойХимии"/>
        <s v="ЗИК"/>
        <s v="ЗКС"/>
        <s v="Индустриальный парк Внуково-3"/>
        <s v="ИнТеСМа"/>
        <s v="Интокаст Рус"/>
        <s v="ИП Гусаров Виталий Валерьевич"/>
        <s v="ИП Межуев Александр Васильевич"/>
        <s v="ИП Устенко"/>
        <s v="Каширский литейный завод Центролит"/>
        <s v="Кварцверке ТД"/>
        <s v="Квик-микс"/>
        <s v="Кералит"/>
        <s v="Керама Марацци"/>
        <s v="КЕРАМИКА"/>
        <s v="Керамика Гжели"/>
        <s v="КераминСП"/>
        <s v="Керамогранитный завод"/>
        <s v="Керафлекс-Центр"/>
        <s v="Кировская керамика"/>
        <s v="КЛЮКЕР"/>
        <s v="Кнауф Гипс"/>
        <s v="Кнауф Инсулейшн"/>
        <s v="Компания Пиастрелла"/>
        <s v="Компас"/>
        <s v="Комплект"/>
        <s v="Конкорд"/>
        <s v="Консолит"/>
        <s v="Константа"/>
        <s v="Корпорация КРЕПС"/>
        <s v="Крайзель Рус"/>
        <s v="Красное Эхо"/>
        <s v="Крацер"/>
        <s v="Кронос-спб"/>
        <s v="КСМстрой"/>
        <s v="Кучинский Керамический Завод-1"/>
        <s v="Ласселсбергер"/>
        <s v="ЛиС-Трейд-Л"/>
        <s v="Лобненский завод строительного фарфора"/>
        <s v="ЛСР.Стеновые-М"/>
        <s v="ЛСР.Стеновые-СЗ"/>
        <s v="Лужский Абразивный Завод"/>
        <s v="Лыткаринский завод оптического стекла"/>
        <s v="Мапеи"/>
        <s v="МаСт"/>
        <s v="Мефферт Продакшн"/>
        <s v="МИКС"/>
        <s v="МостСервис"/>
        <s v="МУРЕКСИН"/>
        <s v="Неруд-Холдинг"/>
        <s v="Нефрит-Керамика"/>
        <s v="НЗКМ"/>
        <s v="НИКА-ПЕТРОТЭК"/>
        <s v="Новолипецкий металлургический комбинат"/>
        <s v="НовТехСтрой"/>
        <s v="Ногинский комбинат строительных изделий"/>
        <s v="Ногинский комбинат строительных смесей"/>
        <s v="Ногинский Стройфарфор"/>
        <s v="Нортекс"/>
        <s v="НПО Стеклопластик"/>
        <s v="НПХ ВМП"/>
        <s v="НПЦ АвиаЛит"/>
        <s v="НПЦ Металлург"/>
        <s v="НТЦ ЭВЕРЕСТ"/>
        <s v="ОгнеупорПром"/>
        <s v="Оленегорский механический завод"/>
        <s v="ОМЗ-ЛП"/>
        <s v="Опытный стекольный завод"/>
        <s v="ОСВ Стекловолокно"/>
        <s v="ОСМиБТ"/>
        <s v="ПАРДУС"/>
        <s v="П-Д Татнефть-Алабуга Стекловолокно"/>
        <s v="Первоуральский динасовый завод"/>
        <s v="Перспективные энергетические технологии"/>
        <s v="ПетроСтрой"/>
        <s v="Пилкингтон Гласс"/>
        <s v="ПК Борец"/>
        <s v="ПК Седрус"/>
        <s v="Пластик-Строймаркет"/>
        <s v="ПО Одинцово"/>
        <s v="ПолимерДизайн"/>
        <s v="Предприятие ВР"/>
        <s v="ПромРесурс"/>
        <s v="ПРОМЭКСТЭК"/>
        <s v="РБП"/>
        <s v="Резерв"/>
        <s v="Ремикс"/>
        <s v="Речицкий фарфоровый завод"/>
        <s v="РМК"/>
        <s v="РНК"/>
        <s v="Родонит"/>
        <s v="Рока Рус"/>
        <s v="РС-СТЕКЛОСНАБ"/>
        <s v="РСХ"/>
        <s v="Рубин"/>
        <s v="Рузаевский Стекольный Завод"/>
        <s v="Русджам"/>
        <s v="Русджам Стекло"/>
        <s v="Самарский Стройфарфор"/>
        <s v="Самарское Объединение Керамики"/>
        <s v="СВЕТ"/>
        <s v="СВО"/>
        <s v="СВХК"/>
        <s v="Семилукские огнеупоры"/>
        <s v="Сен-Гобен Строительньная Продукция Рус"/>
        <s v="Сириус"/>
        <s v="СК Полибилд"/>
        <s v="СМТ Продукт"/>
        <s v="Современные строительные технологии"/>
        <s v="Солстек"/>
        <s v="СпецТехМеханика"/>
        <s v="СПС"/>
        <s v="Стальконструкция"/>
        <s v="Стандарт качества"/>
        <s v="Старатели"/>
        <s v="Стелла-Память"/>
        <s v="Стима Групп"/>
        <s v="СТК Магистраль"/>
        <s v="Стратегия"/>
        <s v="Строй Инжиниринг Девелопмент"/>
        <s v="Строй-Конструкция"/>
        <s v="Стройновкомплект"/>
        <s v="Стройсервисиндустрия"/>
        <s v="ТАРКЕТТ"/>
        <s v="ТВСЗ"/>
        <s v="ТД Строительные материалы"/>
        <s v="Термглас"/>
        <s v="Техмаркет"/>
        <s v="Техно Лит"/>
        <s v="ТК КРАСКИ ЧЕРНОЗЕМЬЯ"/>
        <s v="Торговый Дом Геркулес"/>
        <s v="Торговый дом Камей"/>
        <s v="Торговый дом ТАВР Неруд"/>
        <s v="Торговый Дом Центральный"/>
        <s v="Торговый Дом Экс Морэ"/>
        <s v="Трансстроминвест"/>
        <s v="УграКерам"/>
        <s v="УРСА Евразия"/>
        <s v="УССК"/>
        <s v="УХП"/>
        <s v="Фаворит"/>
        <s v="ФасадСтоун"/>
        <s v="Феникс"/>
        <s v="Филиал НПК Терм ОАО НПО Стеклопластик"/>
        <s v="Фирма ВЕФТ"/>
        <s v="Фирма Русеан"/>
        <s v="Форбо СТРОЙТЕХ"/>
        <s v="ФРИЛАЙТ"/>
        <s v="ФЦДТ Союз"/>
        <s v="Хантсман-НМГ"/>
        <s v="Хенкель Баутехник"/>
        <s v="ХИМЭКС Лимитед"/>
        <s v="Цементные технологии"/>
        <s v="Центр Современной Отделки"/>
        <s v="Центр-Керамика"/>
        <s v="ЦНИИСМ"/>
        <s v="Чагода"/>
        <s v="Штарком"/>
        <s v="Эй Джи Си БСЗ"/>
        <s v="Эй Джи Си Флэт Гласс Клин"/>
        <s v="Эй-Джи строймаркет"/>
        <s v="Экопол"/>
        <s v="ЭМ-СИ Баухеми"/>
        <s v="ЭСАБ-СВЭЛ"/>
        <s v="Эсмальгласс-Итака Русия"/>
        <s v="Эстима Керамика"/>
        <s v="ЮнисИмпэкс"/>
        <s v="СпецТрест"/>
        <s v="ВДВМ"/>
        <s v="Стоун Групп" u="1"/>
        <s v="ТД Константа" u="1"/>
        <s v="Карьер" u="1"/>
      </sharedItems>
    </cacheField>
    <cacheField name="Продукт" numFmtId="0">
      <sharedItems count="132">
        <s v="Portaryte B10"/>
        <s v="Portaryte B15"/>
        <s v="Minex S-4"/>
        <s v="Песчаник "/>
        <s v="ПБ-150-1"/>
        <s v="Отсевы ОМ"/>
        <s v="Песок кварц фракц 1,0-5,0 (биг-бег)"/>
        <s v="ПБ-150-1 охлажденный"/>
        <s v="Песок кварц фракц 0,2-1,0 (биг-бег)"/>
        <s v="Песок кварц фракц 0,63-1,6 (биг-бег)"/>
        <s v="Песок кварц фракц 0,8-2,0 (биг-бег)"/>
        <s v="Silverbond 15 (меш)"/>
        <s v="Silverbond 30 (меш)"/>
        <s v="Minex S-7"/>
        <s v="Portaflame SG25"/>
        <s v="Portaflame SG63"/>
        <s v="Sibelite М3000"/>
        <s v="Sibelite М6000"/>
        <s v="Sibelite М72"/>
        <s v="Silverbond M600"/>
        <s v="Silverbond M400"/>
        <s v="Silverbond 20 (меш)"/>
        <s v="Silverbond 50 (меш)"/>
        <s v="ВС-030-В (меш)"/>
        <s v="ВС-050-1 (меш)"/>
        <s v="ПБ-150-1 (меш)"/>
        <s v="Шпат полевой Unispar PG7"/>
        <s v="Шпат полевой ESF501 CGG"/>
        <s v="Casiflux FG20"/>
        <s v="Кристобалит Minigrain 0"/>
        <s v="Кристобалит Minigrain 00"/>
        <s v="Песок кварц фракц 0,3-0,8 (биг-бег)"/>
        <s v="Песок кварц фракц 1,0-2,0 (биг-бег)"/>
        <s v="Portaflame SG40"/>
        <s v="Silverbond 30 EW"/>
        <s v="ПБ-150-1 (биг-бег)"/>
        <s v="Portaryte B40/10"/>
        <s v="ВС-050-1"/>
        <s v="1К1О2 025 (биг-бег)"/>
        <s v="ВС-030-В"/>
        <s v="Portaryte B25"/>
        <s v="ЛТ-3С"/>
        <s v="ЛТ-КЖ"/>
        <s v="ЛТ-КР"/>
        <s v="Отсевы ОТ"/>
        <s v="Zeta Zircon Superfine"/>
        <s v="Глина Sanblend 90"/>
        <s v="Каолин 31"/>
        <s v="Portafer AP65"/>
        <s v="Шпат полевой FFF K6 60"/>
        <s v="ЛТ-0"/>
        <s v="ЛТ-0Т"/>
        <s v="Песок кварц фракц 0,2-1,6"/>
        <s v="Песок кварц фракц 0,63-5,0"/>
        <s v="ЛТ-2"/>
        <s v="Песок кварц фракц 0,1-0,63"/>
        <s v="Silverbond 20 EW"/>
        <s v="ВС-030-В (биг-бег)"/>
        <s v="Шпат полевой FFF K8 (2) 500"/>
        <s v="ЛТ-К1"/>
        <s v="ЛТ-К1С"/>
        <s v="ЛТ-К3Т"/>
        <s v="ЛТ-0С"/>
        <s v="Мука R-6 (биг-бег)"/>
        <s v="Глина ЛТ-К1 (биг-бег)"/>
        <s v="Глина ЛТ-К3Т (биг-бег)"/>
        <s v="Silverbond 50"/>
        <s v="Мука R-10 EW"/>
        <s v="Silverbond 15 EW"/>
        <s v="Casiflux M75"/>
        <s v="Mangalox K75"/>
        <s v="Portafer G63"/>
        <s v="Portaflux A100"/>
        <s v="Portalum A90"/>
        <s v="Vanguard M90"/>
        <s v="Vitroflux M75"/>
        <s v="Галька 5-7"/>
        <s v="Vanguard 180-250"/>
        <s v="Vanguard 63-125"/>
        <s v="Глина ЛТ-0С (биг-бег)"/>
        <s v="Silverbond 15 (биг-бег)"/>
        <s v="Шпат полевой FFF K8 60 "/>
        <s v="Галька 4-6"/>
        <s v="Галька 8-10"/>
        <s v="ЛТ-2С"/>
        <s v="Zeta Zircon Ultrafine-T"/>
        <s v="Clayrac-EPU-0/0,2-S"/>
        <s v="Шпат полевой FFF К8 500"/>
        <s v="Zircobit MO"/>
        <s v="Глина  DM Shredded"/>
        <s v="ЛТ-ПКС"/>
        <s v="Кварц FFQ 45"/>
        <s v="Пегматит FFP 45"/>
        <s v="Mangalox H25"/>
        <s v="Шпат полевой 1010"/>
        <s v="ВС-050-1 (биг-бег)"/>
        <s v="Шпат полевой 1040"/>
        <s v="ЛТ-У"/>
        <s v="Mangalox А45"/>
        <s v="Portachrom A38"/>
        <s v="ЛТ-У2"/>
        <s v="ЛТ-3Т"/>
        <s v="ЛТ-1"/>
        <s v="Глина Sanblend Excel"/>
        <s v="Portaryte D20"/>
        <s v="ЛТ-2Т"/>
        <s v="ЛТ-ПКТ"/>
        <s v="1К1О2 025"/>
        <s v="Мука R-6 EW"/>
        <s v="Шпат полевой ESF501 TSG"/>
        <s v="1К1-2О1-4О1 (биг-бег)"/>
        <s v="1К1О2025 (биг-бег)"/>
        <s v="ЛТ-1С"/>
        <s v="Incast LE-45"/>
        <s v="Zeta Zircon Fine"/>
        <s v="Zeta Zircon 200 mesh"/>
        <s v="Zeta Zircon Superfine - T"/>
        <s v="ЛТ-1Т"/>
        <s v="Песок кварц фракц 0,8-2,0"/>
        <s v="Песок кварц фракц 0,2-1,0"/>
        <s v="Песчаник"/>
        <s v="Песок кварц фракц 4,0-10,0"/>
        <s v="Silverbond 30 (биг-бег)"/>
        <s v="Cerasil 50"/>
        <s v="Мука R-10" u="1"/>
        <s v="Silverbond 30" u="1"/>
        <s v="Мука R-300 (биг-бег)" u="1"/>
        <s v="Silverbond 20" u="1"/>
        <s v="Отсевы дробления ОМ" u="1"/>
        <s v="Silverbond 50EW" u="1"/>
        <s v="Silverbond 15" u="1"/>
        <s v="Мука R-6" u="1"/>
      </sharedItems>
    </cacheField>
    <cacheField name="Менеджер" numFmtId="0">
      <sharedItems count="11">
        <s v="Коваленко Наталья Алексеевна"/>
        <s v="Мусаев Мурад Исмаилович"/>
        <s v="Мартюшов Андрей Евгеньевич"/>
        <s v="Кузнецов Евгений Олегович"/>
        <s v="Грызунова Лариса Владимировна"/>
        <s v="Федотов Алексей Николаевич"/>
        <s v="Кролевецкий Денис Владимирович"/>
        <s v="Сидоров Павел Владимирович"/>
        <s v="Грызунов Роман Николаевич"/>
        <s v="Галичкин Владимир Николаевич"/>
        <s v="Тимофеев Алексей Владимирович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1">
  <r>
    <x v="0"/>
    <x v="0"/>
    <x v="0"/>
    <x v="0"/>
  </r>
  <r>
    <x v="0"/>
    <x v="0"/>
    <x v="1"/>
    <x v="0"/>
  </r>
  <r>
    <x v="0"/>
    <x v="0"/>
    <x v="2"/>
    <x v="0"/>
  </r>
  <r>
    <x v="1"/>
    <x v="1"/>
    <x v="3"/>
    <x v="1"/>
  </r>
  <r>
    <x v="1"/>
    <x v="2"/>
    <x v="4"/>
    <x v="2"/>
  </r>
  <r>
    <x v="1"/>
    <x v="3"/>
    <x v="5"/>
    <x v="3"/>
  </r>
  <r>
    <x v="1"/>
    <x v="4"/>
    <x v="5"/>
    <x v="3"/>
  </r>
  <r>
    <x v="2"/>
    <x v="5"/>
    <x v="6"/>
    <x v="3"/>
  </r>
  <r>
    <x v="1"/>
    <x v="5"/>
    <x v="7"/>
    <x v="3"/>
  </r>
  <r>
    <x v="2"/>
    <x v="6"/>
    <x v="8"/>
    <x v="4"/>
  </r>
  <r>
    <x v="2"/>
    <x v="6"/>
    <x v="9"/>
    <x v="4"/>
  </r>
  <r>
    <x v="2"/>
    <x v="6"/>
    <x v="10"/>
    <x v="4"/>
  </r>
  <r>
    <x v="2"/>
    <x v="6"/>
    <x v="6"/>
    <x v="4"/>
  </r>
  <r>
    <x v="0"/>
    <x v="6"/>
    <x v="11"/>
    <x v="4"/>
  </r>
  <r>
    <x v="0"/>
    <x v="6"/>
    <x v="12"/>
    <x v="4"/>
  </r>
  <r>
    <x v="0"/>
    <x v="6"/>
    <x v="13"/>
    <x v="4"/>
  </r>
  <r>
    <x v="0"/>
    <x v="6"/>
    <x v="14"/>
    <x v="4"/>
  </r>
  <r>
    <x v="0"/>
    <x v="6"/>
    <x v="15"/>
    <x v="4"/>
  </r>
  <r>
    <x v="0"/>
    <x v="6"/>
    <x v="16"/>
    <x v="4"/>
  </r>
  <r>
    <x v="0"/>
    <x v="6"/>
    <x v="17"/>
    <x v="4"/>
  </r>
  <r>
    <x v="0"/>
    <x v="6"/>
    <x v="18"/>
    <x v="4"/>
  </r>
  <r>
    <x v="0"/>
    <x v="6"/>
    <x v="19"/>
    <x v="4"/>
  </r>
  <r>
    <x v="0"/>
    <x v="6"/>
    <x v="20"/>
    <x v="4"/>
  </r>
  <r>
    <x v="0"/>
    <x v="6"/>
    <x v="21"/>
    <x v="4"/>
  </r>
  <r>
    <x v="0"/>
    <x v="6"/>
    <x v="22"/>
    <x v="4"/>
  </r>
  <r>
    <x v="0"/>
    <x v="6"/>
    <x v="23"/>
    <x v="4"/>
  </r>
  <r>
    <x v="0"/>
    <x v="6"/>
    <x v="24"/>
    <x v="4"/>
  </r>
  <r>
    <x v="0"/>
    <x v="6"/>
    <x v="25"/>
    <x v="4"/>
  </r>
  <r>
    <x v="0"/>
    <x v="6"/>
    <x v="26"/>
    <x v="4"/>
  </r>
  <r>
    <x v="0"/>
    <x v="6"/>
    <x v="27"/>
    <x v="4"/>
  </r>
  <r>
    <x v="0"/>
    <x v="6"/>
    <x v="28"/>
    <x v="4"/>
  </r>
  <r>
    <x v="0"/>
    <x v="6"/>
    <x v="29"/>
    <x v="4"/>
  </r>
  <r>
    <x v="0"/>
    <x v="6"/>
    <x v="30"/>
    <x v="4"/>
  </r>
  <r>
    <x v="0"/>
    <x v="6"/>
    <x v="31"/>
    <x v="4"/>
  </r>
  <r>
    <x v="0"/>
    <x v="6"/>
    <x v="32"/>
    <x v="4"/>
  </r>
  <r>
    <x v="0"/>
    <x v="6"/>
    <x v="33"/>
    <x v="4"/>
  </r>
  <r>
    <x v="1"/>
    <x v="7"/>
    <x v="34"/>
    <x v="3"/>
  </r>
  <r>
    <x v="0"/>
    <x v="7"/>
    <x v="35"/>
    <x v="3"/>
  </r>
  <r>
    <x v="0"/>
    <x v="8"/>
    <x v="36"/>
    <x v="0"/>
  </r>
  <r>
    <x v="0"/>
    <x v="8"/>
    <x v="16"/>
    <x v="0"/>
  </r>
  <r>
    <x v="0"/>
    <x v="8"/>
    <x v="26"/>
    <x v="0"/>
  </r>
  <r>
    <x v="1"/>
    <x v="9"/>
    <x v="34"/>
    <x v="3"/>
  </r>
  <r>
    <x v="1"/>
    <x v="9"/>
    <x v="37"/>
    <x v="3"/>
  </r>
  <r>
    <x v="1"/>
    <x v="9"/>
    <x v="7"/>
    <x v="3"/>
  </r>
  <r>
    <x v="0"/>
    <x v="9"/>
    <x v="24"/>
    <x v="3"/>
  </r>
  <r>
    <x v="0"/>
    <x v="10"/>
    <x v="25"/>
    <x v="3"/>
  </r>
  <r>
    <x v="0"/>
    <x v="11"/>
    <x v="38"/>
    <x v="2"/>
  </r>
  <r>
    <x v="3"/>
    <x v="12"/>
    <x v="35"/>
    <x v="1"/>
  </r>
  <r>
    <x v="1"/>
    <x v="13"/>
    <x v="39"/>
    <x v="5"/>
  </r>
  <r>
    <x v="0"/>
    <x v="13"/>
    <x v="27"/>
    <x v="5"/>
  </r>
  <r>
    <x v="0"/>
    <x v="14"/>
    <x v="40"/>
    <x v="0"/>
  </r>
  <r>
    <x v="1"/>
    <x v="15"/>
    <x v="7"/>
    <x v="3"/>
  </r>
  <r>
    <x v="2"/>
    <x v="16"/>
    <x v="8"/>
    <x v="3"/>
  </r>
  <r>
    <x v="2"/>
    <x v="16"/>
    <x v="9"/>
    <x v="3"/>
  </r>
  <r>
    <x v="2"/>
    <x v="17"/>
    <x v="41"/>
    <x v="6"/>
  </r>
  <r>
    <x v="2"/>
    <x v="17"/>
    <x v="42"/>
    <x v="6"/>
  </r>
  <r>
    <x v="2"/>
    <x v="17"/>
    <x v="43"/>
    <x v="6"/>
  </r>
  <r>
    <x v="1"/>
    <x v="17"/>
    <x v="44"/>
    <x v="6"/>
  </r>
  <r>
    <x v="1"/>
    <x v="18"/>
    <x v="4"/>
    <x v="6"/>
  </r>
  <r>
    <x v="0"/>
    <x v="18"/>
    <x v="11"/>
    <x v="6"/>
  </r>
  <r>
    <x v="0"/>
    <x v="18"/>
    <x v="45"/>
    <x v="6"/>
  </r>
  <r>
    <x v="0"/>
    <x v="18"/>
    <x v="46"/>
    <x v="6"/>
  </r>
  <r>
    <x v="0"/>
    <x v="18"/>
    <x v="47"/>
    <x v="6"/>
  </r>
  <r>
    <x v="0"/>
    <x v="19"/>
    <x v="48"/>
    <x v="0"/>
  </r>
  <r>
    <x v="0"/>
    <x v="19"/>
    <x v="21"/>
    <x v="0"/>
  </r>
  <r>
    <x v="0"/>
    <x v="20"/>
    <x v="49"/>
    <x v="6"/>
  </r>
  <r>
    <x v="2"/>
    <x v="21"/>
    <x v="50"/>
    <x v="3"/>
  </r>
  <r>
    <x v="2"/>
    <x v="21"/>
    <x v="51"/>
    <x v="3"/>
  </r>
  <r>
    <x v="2"/>
    <x v="21"/>
    <x v="52"/>
    <x v="3"/>
  </r>
  <r>
    <x v="2"/>
    <x v="21"/>
    <x v="53"/>
    <x v="3"/>
  </r>
  <r>
    <x v="2"/>
    <x v="22"/>
    <x v="54"/>
    <x v="6"/>
  </r>
  <r>
    <x v="2"/>
    <x v="22"/>
    <x v="55"/>
    <x v="6"/>
  </r>
  <r>
    <x v="2"/>
    <x v="23"/>
    <x v="8"/>
    <x v="1"/>
  </r>
  <r>
    <x v="1"/>
    <x v="24"/>
    <x v="56"/>
    <x v="0"/>
  </r>
  <r>
    <x v="1"/>
    <x v="24"/>
    <x v="39"/>
    <x v="0"/>
  </r>
  <r>
    <x v="0"/>
    <x v="24"/>
    <x v="57"/>
    <x v="0"/>
  </r>
  <r>
    <x v="2"/>
    <x v="25"/>
    <x v="8"/>
    <x v="4"/>
  </r>
  <r>
    <x v="2"/>
    <x v="25"/>
    <x v="9"/>
    <x v="4"/>
  </r>
  <r>
    <x v="2"/>
    <x v="25"/>
    <x v="10"/>
    <x v="4"/>
  </r>
  <r>
    <x v="2"/>
    <x v="25"/>
    <x v="6"/>
    <x v="4"/>
  </r>
  <r>
    <x v="0"/>
    <x v="25"/>
    <x v="23"/>
    <x v="4"/>
  </r>
  <r>
    <x v="0"/>
    <x v="25"/>
    <x v="24"/>
    <x v="4"/>
  </r>
  <r>
    <x v="0"/>
    <x v="25"/>
    <x v="25"/>
    <x v="4"/>
  </r>
  <r>
    <x v="0"/>
    <x v="26"/>
    <x v="27"/>
    <x v="7"/>
  </r>
  <r>
    <x v="0"/>
    <x v="27"/>
    <x v="58"/>
    <x v="6"/>
  </r>
  <r>
    <x v="1"/>
    <x v="28"/>
    <x v="44"/>
    <x v="8"/>
  </r>
  <r>
    <x v="1"/>
    <x v="29"/>
    <x v="5"/>
    <x v="3"/>
  </r>
  <r>
    <x v="1"/>
    <x v="29"/>
    <x v="7"/>
    <x v="3"/>
  </r>
  <r>
    <x v="1"/>
    <x v="30"/>
    <x v="39"/>
    <x v="5"/>
  </r>
  <r>
    <x v="0"/>
    <x v="30"/>
    <x v="27"/>
    <x v="5"/>
  </r>
  <r>
    <x v="1"/>
    <x v="31"/>
    <x v="39"/>
    <x v="5"/>
  </r>
  <r>
    <x v="0"/>
    <x v="31"/>
    <x v="27"/>
    <x v="5"/>
  </r>
  <r>
    <x v="2"/>
    <x v="32"/>
    <x v="59"/>
    <x v="8"/>
  </r>
  <r>
    <x v="2"/>
    <x v="32"/>
    <x v="60"/>
    <x v="8"/>
  </r>
  <r>
    <x v="2"/>
    <x v="32"/>
    <x v="61"/>
    <x v="8"/>
  </r>
  <r>
    <x v="2"/>
    <x v="33"/>
    <x v="62"/>
    <x v="6"/>
  </r>
  <r>
    <x v="0"/>
    <x v="34"/>
    <x v="63"/>
    <x v="2"/>
  </r>
  <r>
    <x v="2"/>
    <x v="35"/>
    <x v="64"/>
    <x v="8"/>
  </r>
  <r>
    <x v="2"/>
    <x v="35"/>
    <x v="65"/>
    <x v="8"/>
  </r>
  <r>
    <x v="1"/>
    <x v="36"/>
    <x v="37"/>
    <x v="3"/>
  </r>
  <r>
    <x v="1"/>
    <x v="37"/>
    <x v="37"/>
    <x v="0"/>
  </r>
  <r>
    <x v="1"/>
    <x v="38"/>
    <x v="34"/>
    <x v="3"/>
  </r>
  <r>
    <x v="1"/>
    <x v="39"/>
    <x v="66"/>
    <x v="3"/>
  </r>
  <r>
    <x v="1"/>
    <x v="39"/>
    <x v="7"/>
    <x v="3"/>
  </r>
  <r>
    <x v="2"/>
    <x v="40"/>
    <x v="8"/>
    <x v="0"/>
  </r>
  <r>
    <x v="0"/>
    <x v="41"/>
    <x v="57"/>
    <x v="1"/>
  </r>
  <r>
    <x v="0"/>
    <x v="41"/>
    <x v="23"/>
    <x v="1"/>
  </r>
  <r>
    <x v="0"/>
    <x v="42"/>
    <x v="11"/>
    <x v="0"/>
  </r>
  <r>
    <x v="0"/>
    <x v="42"/>
    <x v="12"/>
    <x v="0"/>
  </r>
  <r>
    <x v="0"/>
    <x v="42"/>
    <x v="40"/>
    <x v="0"/>
  </r>
  <r>
    <x v="2"/>
    <x v="43"/>
    <x v="54"/>
    <x v="6"/>
  </r>
  <r>
    <x v="1"/>
    <x v="44"/>
    <x v="34"/>
    <x v="3"/>
  </r>
  <r>
    <x v="2"/>
    <x v="45"/>
    <x v="65"/>
    <x v="8"/>
  </r>
  <r>
    <x v="2"/>
    <x v="45"/>
    <x v="59"/>
    <x v="8"/>
  </r>
  <r>
    <x v="2"/>
    <x v="45"/>
    <x v="61"/>
    <x v="8"/>
  </r>
  <r>
    <x v="1"/>
    <x v="46"/>
    <x v="67"/>
    <x v="5"/>
  </r>
  <r>
    <x v="0"/>
    <x v="47"/>
    <x v="45"/>
    <x v="1"/>
  </r>
  <r>
    <x v="1"/>
    <x v="48"/>
    <x v="68"/>
    <x v="0"/>
  </r>
  <r>
    <x v="2"/>
    <x v="49"/>
    <x v="54"/>
    <x v="6"/>
  </r>
  <r>
    <x v="1"/>
    <x v="50"/>
    <x v="68"/>
    <x v="3"/>
  </r>
  <r>
    <x v="1"/>
    <x v="51"/>
    <x v="34"/>
    <x v="3"/>
  </r>
  <r>
    <x v="1"/>
    <x v="51"/>
    <x v="66"/>
    <x v="3"/>
  </r>
  <r>
    <x v="1"/>
    <x v="51"/>
    <x v="37"/>
    <x v="3"/>
  </r>
  <r>
    <x v="1"/>
    <x v="51"/>
    <x v="7"/>
    <x v="3"/>
  </r>
  <r>
    <x v="0"/>
    <x v="52"/>
    <x v="69"/>
    <x v="2"/>
  </r>
  <r>
    <x v="0"/>
    <x v="52"/>
    <x v="70"/>
    <x v="2"/>
  </r>
  <r>
    <x v="0"/>
    <x v="52"/>
    <x v="71"/>
    <x v="2"/>
  </r>
  <r>
    <x v="0"/>
    <x v="52"/>
    <x v="72"/>
    <x v="2"/>
  </r>
  <r>
    <x v="0"/>
    <x v="52"/>
    <x v="73"/>
    <x v="2"/>
  </r>
  <r>
    <x v="0"/>
    <x v="52"/>
    <x v="74"/>
    <x v="2"/>
  </r>
  <r>
    <x v="0"/>
    <x v="52"/>
    <x v="75"/>
    <x v="2"/>
  </r>
  <r>
    <x v="0"/>
    <x v="53"/>
    <x v="21"/>
    <x v="0"/>
  </r>
  <r>
    <x v="0"/>
    <x v="53"/>
    <x v="24"/>
    <x v="0"/>
  </r>
  <r>
    <x v="0"/>
    <x v="54"/>
    <x v="23"/>
    <x v="4"/>
  </r>
  <r>
    <x v="0"/>
    <x v="54"/>
    <x v="24"/>
    <x v="4"/>
  </r>
  <r>
    <x v="0"/>
    <x v="54"/>
    <x v="25"/>
    <x v="4"/>
  </r>
  <r>
    <x v="1"/>
    <x v="55"/>
    <x v="4"/>
    <x v="2"/>
  </r>
  <r>
    <x v="1"/>
    <x v="56"/>
    <x v="4"/>
    <x v="2"/>
  </r>
  <r>
    <x v="0"/>
    <x v="57"/>
    <x v="76"/>
    <x v="9"/>
  </r>
  <r>
    <x v="2"/>
    <x v="58"/>
    <x v="8"/>
    <x v="3"/>
  </r>
  <r>
    <x v="2"/>
    <x v="58"/>
    <x v="9"/>
    <x v="3"/>
  </r>
  <r>
    <x v="1"/>
    <x v="58"/>
    <x v="34"/>
    <x v="3"/>
  </r>
  <r>
    <x v="1"/>
    <x v="58"/>
    <x v="37"/>
    <x v="3"/>
  </r>
  <r>
    <x v="0"/>
    <x v="59"/>
    <x v="77"/>
    <x v="2"/>
  </r>
  <r>
    <x v="0"/>
    <x v="59"/>
    <x v="78"/>
    <x v="2"/>
  </r>
  <r>
    <x v="2"/>
    <x v="60"/>
    <x v="79"/>
    <x v="6"/>
  </r>
  <r>
    <x v="1"/>
    <x v="60"/>
    <x v="4"/>
    <x v="6"/>
  </r>
  <r>
    <x v="0"/>
    <x v="60"/>
    <x v="80"/>
    <x v="6"/>
  </r>
  <r>
    <x v="0"/>
    <x v="60"/>
    <x v="81"/>
    <x v="6"/>
  </r>
  <r>
    <x v="0"/>
    <x v="60"/>
    <x v="82"/>
    <x v="6"/>
  </r>
  <r>
    <x v="0"/>
    <x v="60"/>
    <x v="83"/>
    <x v="6"/>
  </r>
  <r>
    <x v="2"/>
    <x v="61"/>
    <x v="84"/>
    <x v="6"/>
  </r>
  <r>
    <x v="0"/>
    <x v="61"/>
    <x v="85"/>
    <x v="6"/>
  </r>
  <r>
    <x v="0"/>
    <x v="61"/>
    <x v="86"/>
    <x v="6"/>
  </r>
  <r>
    <x v="0"/>
    <x v="61"/>
    <x v="49"/>
    <x v="6"/>
  </r>
  <r>
    <x v="0"/>
    <x v="62"/>
    <x v="45"/>
    <x v="6"/>
  </r>
  <r>
    <x v="0"/>
    <x v="62"/>
    <x v="87"/>
    <x v="6"/>
  </r>
  <r>
    <x v="0"/>
    <x v="63"/>
    <x v="81"/>
    <x v="9"/>
  </r>
  <r>
    <x v="0"/>
    <x v="63"/>
    <x v="45"/>
    <x v="9"/>
  </r>
  <r>
    <x v="1"/>
    <x v="64"/>
    <x v="37"/>
    <x v="6"/>
  </r>
  <r>
    <x v="0"/>
    <x v="64"/>
    <x v="88"/>
    <x v="6"/>
  </r>
  <r>
    <x v="0"/>
    <x v="64"/>
    <x v="89"/>
    <x v="6"/>
  </r>
  <r>
    <x v="0"/>
    <x v="64"/>
    <x v="83"/>
    <x v="6"/>
  </r>
  <r>
    <x v="0"/>
    <x v="65"/>
    <x v="23"/>
    <x v="1"/>
  </r>
  <r>
    <x v="0"/>
    <x v="65"/>
    <x v="24"/>
    <x v="1"/>
  </r>
  <r>
    <x v="2"/>
    <x v="66"/>
    <x v="84"/>
    <x v="6"/>
  </r>
  <r>
    <x v="2"/>
    <x v="66"/>
    <x v="90"/>
    <x v="6"/>
  </r>
  <r>
    <x v="0"/>
    <x v="66"/>
    <x v="46"/>
    <x v="6"/>
  </r>
  <r>
    <x v="0"/>
    <x v="66"/>
    <x v="91"/>
    <x v="6"/>
  </r>
  <r>
    <x v="0"/>
    <x v="66"/>
    <x v="92"/>
    <x v="6"/>
  </r>
  <r>
    <x v="0"/>
    <x v="66"/>
    <x v="49"/>
    <x v="6"/>
  </r>
  <r>
    <x v="0"/>
    <x v="66"/>
    <x v="87"/>
    <x v="6"/>
  </r>
  <r>
    <x v="0"/>
    <x v="67"/>
    <x v="93"/>
    <x v="8"/>
  </r>
  <r>
    <x v="1"/>
    <x v="68"/>
    <x v="37"/>
    <x v="3"/>
  </r>
  <r>
    <x v="1"/>
    <x v="69"/>
    <x v="4"/>
    <x v="3"/>
  </r>
  <r>
    <x v="0"/>
    <x v="70"/>
    <x v="94"/>
    <x v="6"/>
  </r>
  <r>
    <x v="1"/>
    <x v="71"/>
    <x v="39"/>
    <x v="5"/>
  </r>
  <r>
    <x v="1"/>
    <x v="71"/>
    <x v="4"/>
    <x v="5"/>
  </r>
  <r>
    <x v="2"/>
    <x v="72"/>
    <x v="62"/>
    <x v="6"/>
  </r>
  <r>
    <x v="0"/>
    <x v="72"/>
    <x v="87"/>
    <x v="6"/>
  </r>
  <r>
    <x v="0"/>
    <x v="72"/>
    <x v="57"/>
    <x v="6"/>
  </r>
  <r>
    <x v="0"/>
    <x v="73"/>
    <x v="14"/>
    <x v="0"/>
  </r>
  <r>
    <x v="1"/>
    <x v="74"/>
    <x v="7"/>
    <x v="3"/>
  </r>
  <r>
    <x v="1"/>
    <x v="75"/>
    <x v="39"/>
    <x v="5"/>
  </r>
  <r>
    <x v="3"/>
    <x v="76"/>
    <x v="35"/>
    <x v="3"/>
  </r>
  <r>
    <x v="1"/>
    <x v="77"/>
    <x v="7"/>
    <x v="3"/>
  </r>
  <r>
    <x v="1"/>
    <x v="78"/>
    <x v="39"/>
    <x v="5"/>
  </r>
  <r>
    <x v="1"/>
    <x v="79"/>
    <x v="7"/>
    <x v="3"/>
  </r>
  <r>
    <x v="0"/>
    <x v="80"/>
    <x v="24"/>
    <x v="0"/>
  </r>
  <r>
    <x v="1"/>
    <x v="81"/>
    <x v="34"/>
    <x v="3"/>
  </r>
  <r>
    <x v="0"/>
    <x v="82"/>
    <x v="95"/>
    <x v="6"/>
  </r>
  <r>
    <x v="0"/>
    <x v="82"/>
    <x v="96"/>
    <x v="6"/>
  </r>
  <r>
    <x v="0"/>
    <x v="83"/>
    <x v="82"/>
    <x v="9"/>
  </r>
  <r>
    <x v="2"/>
    <x v="84"/>
    <x v="97"/>
    <x v="3"/>
  </r>
  <r>
    <x v="0"/>
    <x v="85"/>
    <x v="87"/>
    <x v="6"/>
  </r>
  <r>
    <x v="2"/>
    <x v="86"/>
    <x v="59"/>
    <x v="8"/>
  </r>
  <r>
    <x v="0"/>
    <x v="86"/>
    <x v="98"/>
    <x v="8"/>
  </r>
  <r>
    <x v="0"/>
    <x v="86"/>
    <x v="99"/>
    <x v="8"/>
  </r>
  <r>
    <x v="0"/>
    <x v="87"/>
    <x v="98"/>
    <x v="8"/>
  </r>
  <r>
    <x v="2"/>
    <x v="88"/>
    <x v="10"/>
    <x v="3"/>
  </r>
  <r>
    <x v="2"/>
    <x v="88"/>
    <x v="6"/>
    <x v="3"/>
  </r>
  <r>
    <x v="1"/>
    <x v="89"/>
    <x v="37"/>
    <x v="5"/>
  </r>
  <r>
    <x v="1"/>
    <x v="90"/>
    <x v="37"/>
    <x v="3"/>
  </r>
  <r>
    <x v="1"/>
    <x v="90"/>
    <x v="7"/>
    <x v="3"/>
  </r>
  <r>
    <x v="1"/>
    <x v="91"/>
    <x v="7"/>
    <x v="3"/>
  </r>
  <r>
    <x v="0"/>
    <x v="92"/>
    <x v="16"/>
    <x v="0"/>
  </r>
  <r>
    <x v="1"/>
    <x v="93"/>
    <x v="37"/>
    <x v="3"/>
  </r>
  <r>
    <x v="2"/>
    <x v="94"/>
    <x v="8"/>
    <x v="1"/>
  </r>
  <r>
    <x v="2"/>
    <x v="94"/>
    <x v="9"/>
    <x v="1"/>
  </r>
  <r>
    <x v="1"/>
    <x v="95"/>
    <x v="37"/>
    <x v="3"/>
  </r>
  <r>
    <x v="2"/>
    <x v="96"/>
    <x v="100"/>
    <x v="3"/>
  </r>
  <r>
    <x v="2"/>
    <x v="97"/>
    <x v="41"/>
    <x v="6"/>
  </r>
  <r>
    <x v="2"/>
    <x v="97"/>
    <x v="101"/>
    <x v="6"/>
  </r>
  <r>
    <x v="2"/>
    <x v="98"/>
    <x v="59"/>
    <x v="8"/>
  </r>
  <r>
    <x v="2"/>
    <x v="99"/>
    <x v="102"/>
    <x v="2"/>
  </r>
  <r>
    <x v="2"/>
    <x v="99"/>
    <x v="101"/>
    <x v="2"/>
  </r>
  <r>
    <x v="2"/>
    <x v="100"/>
    <x v="55"/>
    <x v="2"/>
  </r>
  <r>
    <x v="0"/>
    <x v="101"/>
    <x v="57"/>
    <x v="3"/>
  </r>
  <r>
    <x v="0"/>
    <x v="101"/>
    <x v="95"/>
    <x v="3"/>
  </r>
  <r>
    <x v="0"/>
    <x v="101"/>
    <x v="35"/>
    <x v="3"/>
  </r>
  <r>
    <x v="2"/>
    <x v="102"/>
    <x v="54"/>
    <x v="6"/>
  </r>
  <r>
    <x v="1"/>
    <x v="103"/>
    <x v="56"/>
    <x v="3"/>
  </r>
  <r>
    <x v="1"/>
    <x v="103"/>
    <x v="66"/>
    <x v="3"/>
  </r>
  <r>
    <x v="1"/>
    <x v="103"/>
    <x v="37"/>
    <x v="3"/>
  </r>
  <r>
    <x v="1"/>
    <x v="103"/>
    <x v="7"/>
    <x v="3"/>
  </r>
  <r>
    <x v="1"/>
    <x v="104"/>
    <x v="4"/>
    <x v="6"/>
  </r>
  <r>
    <x v="0"/>
    <x v="104"/>
    <x v="24"/>
    <x v="6"/>
  </r>
  <r>
    <x v="0"/>
    <x v="104"/>
    <x v="27"/>
    <x v="6"/>
  </r>
  <r>
    <x v="0"/>
    <x v="104"/>
    <x v="103"/>
    <x v="6"/>
  </r>
  <r>
    <x v="0"/>
    <x v="105"/>
    <x v="14"/>
    <x v="0"/>
  </r>
  <r>
    <x v="0"/>
    <x v="105"/>
    <x v="15"/>
    <x v="0"/>
  </r>
  <r>
    <x v="0"/>
    <x v="105"/>
    <x v="0"/>
    <x v="0"/>
  </r>
  <r>
    <x v="0"/>
    <x v="105"/>
    <x v="1"/>
    <x v="0"/>
  </r>
  <r>
    <x v="0"/>
    <x v="105"/>
    <x v="40"/>
    <x v="0"/>
  </r>
  <r>
    <x v="0"/>
    <x v="105"/>
    <x v="104"/>
    <x v="0"/>
  </r>
  <r>
    <x v="0"/>
    <x v="105"/>
    <x v="12"/>
    <x v="0"/>
  </r>
  <r>
    <x v="1"/>
    <x v="106"/>
    <x v="37"/>
    <x v="5"/>
  </r>
  <r>
    <x v="0"/>
    <x v="107"/>
    <x v="48"/>
    <x v="0"/>
  </r>
  <r>
    <x v="0"/>
    <x v="108"/>
    <x v="95"/>
    <x v="0"/>
  </r>
  <r>
    <x v="0"/>
    <x v="109"/>
    <x v="12"/>
    <x v="0"/>
  </r>
  <r>
    <x v="2"/>
    <x v="110"/>
    <x v="10"/>
    <x v="2"/>
  </r>
  <r>
    <x v="2"/>
    <x v="111"/>
    <x v="102"/>
    <x v="2"/>
  </r>
  <r>
    <x v="2"/>
    <x v="111"/>
    <x v="105"/>
    <x v="2"/>
  </r>
  <r>
    <x v="2"/>
    <x v="111"/>
    <x v="101"/>
    <x v="2"/>
  </r>
  <r>
    <x v="2"/>
    <x v="111"/>
    <x v="106"/>
    <x v="2"/>
  </r>
  <r>
    <x v="3"/>
    <x v="112"/>
    <x v="107"/>
    <x v="2"/>
  </r>
  <r>
    <x v="3"/>
    <x v="113"/>
    <x v="107"/>
    <x v="2"/>
  </r>
  <r>
    <x v="1"/>
    <x v="114"/>
    <x v="39"/>
    <x v="5"/>
  </r>
  <r>
    <x v="0"/>
    <x v="114"/>
    <x v="27"/>
    <x v="5"/>
  </r>
  <r>
    <x v="1"/>
    <x v="115"/>
    <x v="67"/>
    <x v="5"/>
  </r>
  <r>
    <x v="1"/>
    <x v="115"/>
    <x v="108"/>
    <x v="5"/>
  </r>
  <r>
    <x v="2"/>
    <x v="116"/>
    <x v="51"/>
    <x v="6"/>
  </r>
  <r>
    <x v="2"/>
    <x v="116"/>
    <x v="60"/>
    <x v="6"/>
  </r>
  <r>
    <x v="0"/>
    <x v="116"/>
    <x v="87"/>
    <x v="6"/>
  </r>
  <r>
    <x v="0"/>
    <x v="117"/>
    <x v="25"/>
    <x v="0"/>
  </r>
  <r>
    <x v="1"/>
    <x v="118"/>
    <x v="67"/>
    <x v="5"/>
  </r>
  <r>
    <x v="1"/>
    <x v="119"/>
    <x v="39"/>
    <x v="2"/>
  </r>
  <r>
    <x v="1"/>
    <x v="120"/>
    <x v="34"/>
    <x v="3"/>
  </r>
  <r>
    <x v="2"/>
    <x v="121"/>
    <x v="8"/>
    <x v="1"/>
  </r>
  <r>
    <x v="2"/>
    <x v="121"/>
    <x v="9"/>
    <x v="1"/>
  </r>
  <r>
    <x v="2"/>
    <x v="121"/>
    <x v="10"/>
    <x v="1"/>
  </r>
  <r>
    <x v="2"/>
    <x v="121"/>
    <x v="6"/>
    <x v="1"/>
  </r>
  <r>
    <x v="1"/>
    <x v="122"/>
    <x v="37"/>
    <x v="5"/>
  </r>
  <r>
    <x v="1"/>
    <x v="123"/>
    <x v="4"/>
    <x v="2"/>
  </r>
  <r>
    <x v="1"/>
    <x v="124"/>
    <x v="34"/>
    <x v="3"/>
  </r>
  <r>
    <x v="1"/>
    <x v="124"/>
    <x v="39"/>
    <x v="3"/>
  </r>
  <r>
    <x v="0"/>
    <x v="125"/>
    <x v="40"/>
    <x v="0"/>
  </r>
  <r>
    <x v="0"/>
    <x v="125"/>
    <x v="11"/>
    <x v="0"/>
  </r>
  <r>
    <x v="0"/>
    <x v="125"/>
    <x v="24"/>
    <x v="0"/>
  </r>
  <r>
    <x v="0"/>
    <x v="126"/>
    <x v="25"/>
    <x v="10"/>
  </r>
  <r>
    <x v="0"/>
    <x v="127"/>
    <x v="16"/>
    <x v="0"/>
  </r>
  <r>
    <x v="0"/>
    <x v="128"/>
    <x v="16"/>
    <x v="0"/>
  </r>
  <r>
    <x v="0"/>
    <x v="128"/>
    <x v="17"/>
    <x v="0"/>
  </r>
  <r>
    <x v="0"/>
    <x v="128"/>
    <x v="19"/>
    <x v="0"/>
  </r>
  <r>
    <x v="0"/>
    <x v="129"/>
    <x v="27"/>
    <x v="5"/>
  </r>
  <r>
    <x v="0"/>
    <x v="129"/>
    <x v="109"/>
    <x v="5"/>
  </r>
  <r>
    <x v="1"/>
    <x v="130"/>
    <x v="37"/>
    <x v="3"/>
  </r>
  <r>
    <x v="1"/>
    <x v="130"/>
    <x v="7"/>
    <x v="3"/>
  </r>
  <r>
    <x v="0"/>
    <x v="131"/>
    <x v="35"/>
    <x v="3"/>
  </r>
  <r>
    <x v="1"/>
    <x v="132"/>
    <x v="39"/>
    <x v="5"/>
  </r>
  <r>
    <x v="3"/>
    <x v="133"/>
    <x v="110"/>
    <x v="2"/>
  </r>
  <r>
    <x v="3"/>
    <x v="133"/>
    <x v="111"/>
    <x v="2"/>
  </r>
  <r>
    <x v="2"/>
    <x v="134"/>
    <x v="112"/>
    <x v="6"/>
  </r>
  <r>
    <x v="1"/>
    <x v="135"/>
    <x v="39"/>
    <x v="9"/>
  </r>
  <r>
    <x v="0"/>
    <x v="136"/>
    <x v="45"/>
    <x v="1"/>
  </r>
  <r>
    <x v="0"/>
    <x v="137"/>
    <x v="113"/>
    <x v="2"/>
  </r>
  <r>
    <x v="0"/>
    <x v="137"/>
    <x v="114"/>
    <x v="2"/>
  </r>
  <r>
    <x v="0"/>
    <x v="137"/>
    <x v="115"/>
    <x v="2"/>
  </r>
  <r>
    <x v="0"/>
    <x v="137"/>
    <x v="45"/>
    <x v="2"/>
  </r>
  <r>
    <x v="0"/>
    <x v="138"/>
    <x v="85"/>
    <x v="9"/>
  </r>
  <r>
    <x v="0"/>
    <x v="138"/>
    <x v="46"/>
    <x v="9"/>
  </r>
  <r>
    <x v="3"/>
    <x v="139"/>
    <x v="39"/>
    <x v="5"/>
  </r>
  <r>
    <x v="3"/>
    <x v="140"/>
    <x v="39"/>
    <x v="5"/>
  </r>
  <r>
    <x v="3"/>
    <x v="140"/>
    <x v="37"/>
    <x v="5"/>
  </r>
  <r>
    <x v="3"/>
    <x v="140"/>
    <x v="4"/>
    <x v="5"/>
  </r>
  <r>
    <x v="0"/>
    <x v="140"/>
    <x v="99"/>
    <x v="5"/>
  </r>
  <r>
    <x v="3"/>
    <x v="141"/>
    <x v="110"/>
    <x v="2"/>
  </r>
  <r>
    <x v="0"/>
    <x v="142"/>
    <x v="27"/>
    <x v="5"/>
  </r>
  <r>
    <x v="1"/>
    <x v="143"/>
    <x v="39"/>
    <x v="5"/>
  </r>
  <r>
    <x v="0"/>
    <x v="143"/>
    <x v="99"/>
    <x v="5"/>
  </r>
  <r>
    <x v="0"/>
    <x v="144"/>
    <x v="99"/>
    <x v="5"/>
  </r>
  <r>
    <x v="2"/>
    <x v="145"/>
    <x v="51"/>
    <x v="6"/>
  </r>
  <r>
    <x v="2"/>
    <x v="145"/>
    <x v="54"/>
    <x v="6"/>
  </r>
  <r>
    <x v="0"/>
    <x v="145"/>
    <x v="82"/>
    <x v="6"/>
  </r>
  <r>
    <x v="0"/>
    <x v="145"/>
    <x v="49"/>
    <x v="6"/>
  </r>
  <r>
    <x v="0"/>
    <x v="145"/>
    <x v="116"/>
    <x v="6"/>
  </r>
  <r>
    <x v="2"/>
    <x v="146"/>
    <x v="54"/>
    <x v="6"/>
  </r>
  <r>
    <x v="0"/>
    <x v="147"/>
    <x v="27"/>
    <x v="5"/>
  </r>
  <r>
    <x v="0"/>
    <x v="148"/>
    <x v="23"/>
    <x v="0"/>
  </r>
  <r>
    <x v="0"/>
    <x v="149"/>
    <x v="115"/>
    <x v="9"/>
  </r>
  <r>
    <x v="0"/>
    <x v="149"/>
    <x v="45"/>
    <x v="9"/>
  </r>
  <r>
    <x v="2"/>
    <x v="150"/>
    <x v="117"/>
    <x v="2"/>
  </r>
  <r>
    <x v="2"/>
    <x v="150"/>
    <x v="101"/>
    <x v="2"/>
  </r>
  <r>
    <x v="1"/>
    <x v="151"/>
    <x v="4"/>
    <x v="3"/>
  </r>
  <r>
    <x v="0"/>
    <x v="151"/>
    <x v="118"/>
    <x v="3"/>
  </r>
  <r>
    <x v="0"/>
    <x v="152"/>
    <x v="0"/>
    <x v="0"/>
  </r>
  <r>
    <x v="0"/>
    <x v="152"/>
    <x v="40"/>
    <x v="0"/>
  </r>
  <r>
    <x v="0"/>
    <x v="153"/>
    <x v="40"/>
    <x v="0"/>
  </r>
  <r>
    <x v="0"/>
    <x v="153"/>
    <x v="11"/>
    <x v="0"/>
  </r>
  <r>
    <x v="2"/>
    <x v="154"/>
    <x v="55"/>
    <x v="0"/>
  </r>
  <r>
    <x v="2"/>
    <x v="154"/>
    <x v="52"/>
    <x v="0"/>
  </r>
  <r>
    <x v="2"/>
    <x v="154"/>
    <x v="53"/>
    <x v="0"/>
  </r>
  <r>
    <x v="1"/>
    <x v="154"/>
    <x v="34"/>
    <x v="0"/>
  </r>
  <r>
    <x v="0"/>
    <x v="155"/>
    <x v="11"/>
    <x v="0"/>
  </r>
  <r>
    <x v="3"/>
    <x v="156"/>
    <x v="39"/>
    <x v="5"/>
  </r>
  <r>
    <x v="3"/>
    <x v="157"/>
    <x v="31"/>
    <x v="1"/>
  </r>
  <r>
    <x v="1"/>
    <x v="158"/>
    <x v="56"/>
    <x v="3"/>
  </r>
  <r>
    <x v="2"/>
    <x v="159"/>
    <x v="10"/>
    <x v="1"/>
  </r>
  <r>
    <x v="1"/>
    <x v="160"/>
    <x v="7"/>
    <x v="3"/>
  </r>
  <r>
    <x v="1"/>
    <x v="161"/>
    <x v="56"/>
    <x v="3"/>
  </r>
  <r>
    <x v="1"/>
    <x v="161"/>
    <x v="66"/>
    <x v="3"/>
  </r>
  <r>
    <x v="1"/>
    <x v="161"/>
    <x v="7"/>
    <x v="3"/>
  </r>
  <r>
    <x v="0"/>
    <x v="161"/>
    <x v="21"/>
    <x v="3"/>
  </r>
  <r>
    <x v="0"/>
    <x v="161"/>
    <x v="119"/>
    <x v="3"/>
  </r>
  <r>
    <x v="0"/>
    <x v="162"/>
    <x v="25"/>
    <x v="1"/>
  </r>
  <r>
    <x v="2"/>
    <x v="163"/>
    <x v="84"/>
    <x v="1"/>
  </r>
  <r>
    <x v="2"/>
    <x v="164"/>
    <x v="55"/>
    <x v="1"/>
  </r>
  <r>
    <x v="2"/>
    <x v="164"/>
    <x v="53"/>
    <x v="1"/>
  </r>
  <r>
    <x v="1"/>
    <x v="164"/>
    <x v="5"/>
    <x v="1"/>
  </r>
  <r>
    <x v="3"/>
    <x v="165"/>
    <x v="39"/>
    <x v="5"/>
  </r>
  <r>
    <x v="1"/>
    <x v="165"/>
    <x v="39"/>
    <x v="5"/>
  </r>
  <r>
    <x v="1"/>
    <x v="165"/>
    <x v="4"/>
    <x v="5"/>
  </r>
  <r>
    <x v="0"/>
    <x v="165"/>
    <x v="27"/>
    <x v="5"/>
  </r>
  <r>
    <x v="2"/>
    <x v="166"/>
    <x v="9"/>
    <x v="1"/>
  </r>
  <r>
    <x v="0"/>
    <x v="167"/>
    <x v="25"/>
    <x v="3"/>
  </r>
  <r>
    <x v="0"/>
    <x v="168"/>
    <x v="24"/>
    <x v="0"/>
  </r>
  <r>
    <x v="2"/>
    <x v="169"/>
    <x v="8"/>
    <x v="0"/>
  </r>
  <r>
    <x v="2"/>
    <x v="169"/>
    <x v="10"/>
    <x v="0"/>
  </r>
  <r>
    <x v="2"/>
    <x v="169"/>
    <x v="6"/>
    <x v="0"/>
  </r>
  <r>
    <x v="0"/>
    <x v="170"/>
    <x v="15"/>
    <x v="0"/>
  </r>
  <r>
    <x v="3"/>
    <x v="171"/>
    <x v="110"/>
    <x v="2"/>
  </r>
  <r>
    <x v="3"/>
    <x v="171"/>
    <x v="111"/>
    <x v="2"/>
  </r>
  <r>
    <x v="1"/>
    <x v="172"/>
    <x v="37"/>
    <x v="3"/>
  </r>
  <r>
    <x v="1"/>
    <x v="173"/>
    <x v="37"/>
    <x v="5"/>
  </r>
  <r>
    <x v="3"/>
    <x v="174"/>
    <x v="39"/>
    <x v="5"/>
  </r>
  <r>
    <x v="3"/>
    <x v="174"/>
    <x v="37"/>
    <x v="5"/>
  </r>
  <r>
    <x v="0"/>
    <x v="175"/>
    <x v="25"/>
    <x v="2"/>
  </r>
  <r>
    <x v="2"/>
    <x v="176"/>
    <x v="55"/>
    <x v="0"/>
  </r>
  <r>
    <x v="2"/>
    <x v="177"/>
    <x v="8"/>
    <x v="4"/>
  </r>
  <r>
    <x v="2"/>
    <x v="177"/>
    <x v="9"/>
    <x v="4"/>
  </r>
  <r>
    <x v="2"/>
    <x v="177"/>
    <x v="10"/>
    <x v="4"/>
  </r>
  <r>
    <x v="2"/>
    <x v="177"/>
    <x v="6"/>
    <x v="4"/>
  </r>
  <r>
    <x v="1"/>
    <x v="177"/>
    <x v="68"/>
    <x v="4"/>
  </r>
  <r>
    <x v="1"/>
    <x v="177"/>
    <x v="56"/>
    <x v="4"/>
  </r>
  <r>
    <x v="1"/>
    <x v="177"/>
    <x v="34"/>
    <x v="4"/>
  </r>
  <r>
    <x v="1"/>
    <x v="177"/>
    <x v="66"/>
    <x v="4"/>
  </r>
  <r>
    <x v="1"/>
    <x v="177"/>
    <x v="39"/>
    <x v="4"/>
  </r>
  <r>
    <x v="1"/>
    <x v="177"/>
    <x v="37"/>
    <x v="4"/>
  </r>
  <r>
    <x v="1"/>
    <x v="177"/>
    <x v="4"/>
    <x v="4"/>
  </r>
  <r>
    <x v="3"/>
    <x v="177"/>
    <x v="107"/>
    <x v="4"/>
  </r>
  <r>
    <x v="2"/>
    <x v="178"/>
    <x v="120"/>
    <x v="1"/>
  </r>
  <r>
    <x v="2"/>
    <x v="179"/>
    <x v="8"/>
    <x v="1"/>
  </r>
  <r>
    <x v="2"/>
    <x v="179"/>
    <x v="9"/>
    <x v="1"/>
  </r>
  <r>
    <x v="2"/>
    <x v="179"/>
    <x v="10"/>
    <x v="1"/>
  </r>
  <r>
    <x v="2"/>
    <x v="179"/>
    <x v="6"/>
    <x v="1"/>
  </r>
  <r>
    <x v="2"/>
    <x v="180"/>
    <x v="51"/>
    <x v="2"/>
  </r>
  <r>
    <x v="2"/>
    <x v="180"/>
    <x v="102"/>
    <x v="2"/>
  </r>
  <r>
    <x v="2"/>
    <x v="180"/>
    <x v="105"/>
    <x v="2"/>
  </r>
  <r>
    <x v="2"/>
    <x v="180"/>
    <x v="101"/>
    <x v="2"/>
  </r>
  <r>
    <x v="2"/>
    <x v="180"/>
    <x v="106"/>
    <x v="2"/>
  </r>
  <r>
    <x v="2"/>
    <x v="180"/>
    <x v="55"/>
    <x v="2"/>
  </r>
  <r>
    <x v="2"/>
    <x v="180"/>
    <x v="8"/>
    <x v="2"/>
  </r>
  <r>
    <x v="2"/>
    <x v="180"/>
    <x v="52"/>
    <x v="2"/>
  </r>
  <r>
    <x v="2"/>
    <x v="180"/>
    <x v="9"/>
    <x v="2"/>
  </r>
  <r>
    <x v="2"/>
    <x v="180"/>
    <x v="53"/>
    <x v="2"/>
  </r>
  <r>
    <x v="2"/>
    <x v="180"/>
    <x v="10"/>
    <x v="2"/>
  </r>
  <r>
    <x v="2"/>
    <x v="180"/>
    <x v="6"/>
    <x v="2"/>
  </r>
  <r>
    <x v="2"/>
    <x v="180"/>
    <x v="121"/>
    <x v="2"/>
  </r>
  <r>
    <x v="2"/>
    <x v="180"/>
    <x v="120"/>
    <x v="2"/>
  </r>
  <r>
    <x v="2"/>
    <x v="181"/>
    <x v="10"/>
    <x v="3"/>
  </r>
  <r>
    <x v="2"/>
    <x v="181"/>
    <x v="6"/>
    <x v="3"/>
  </r>
  <r>
    <x v="1"/>
    <x v="181"/>
    <x v="34"/>
    <x v="3"/>
  </r>
  <r>
    <x v="1"/>
    <x v="181"/>
    <x v="37"/>
    <x v="3"/>
  </r>
  <r>
    <x v="1"/>
    <x v="181"/>
    <x v="4"/>
    <x v="3"/>
  </r>
  <r>
    <x v="2"/>
    <x v="182"/>
    <x v="106"/>
    <x v="8"/>
  </r>
  <r>
    <x v="2"/>
    <x v="183"/>
    <x v="84"/>
    <x v="6"/>
  </r>
  <r>
    <x v="0"/>
    <x v="183"/>
    <x v="86"/>
    <x v="6"/>
  </r>
  <r>
    <x v="0"/>
    <x v="183"/>
    <x v="85"/>
    <x v="6"/>
  </r>
  <r>
    <x v="0"/>
    <x v="183"/>
    <x v="87"/>
    <x v="6"/>
  </r>
  <r>
    <x v="1"/>
    <x v="184"/>
    <x v="4"/>
    <x v="3"/>
  </r>
  <r>
    <x v="2"/>
    <x v="185"/>
    <x v="102"/>
    <x v="2"/>
  </r>
  <r>
    <x v="2"/>
    <x v="185"/>
    <x v="105"/>
    <x v="2"/>
  </r>
  <r>
    <x v="0"/>
    <x v="186"/>
    <x v="115"/>
    <x v="9"/>
  </r>
  <r>
    <x v="1"/>
    <x v="187"/>
    <x v="7"/>
    <x v="3"/>
  </r>
  <r>
    <x v="1"/>
    <x v="188"/>
    <x v="5"/>
    <x v="3"/>
  </r>
  <r>
    <x v="0"/>
    <x v="189"/>
    <x v="35"/>
    <x v="2"/>
  </r>
  <r>
    <x v="1"/>
    <x v="190"/>
    <x v="37"/>
    <x v="5"/>
  </r>
  <r>
    <x v="1"/>
    <x v="191"/>
    <x v="7"/>
    <x v="3"/>
  </r>
  <r>
    <x v="1"/>
    <x v="192"/>
    <x v="66"/>
    <x v="3"/>
  </r>
  <r>
    <x v="1"/>
    <x v="192"/>
    <x v="7"/>
    <x v="3"/>
  </r>
  <r>
    <x v="1"/>
    <x v="193"/>
    <x v="7"/>
    <x v="3"/>
  </r>
  <r>
    <x v="2"/>
    <x v="194"/>
    <x v="54"/>
    <x v="6"/>
  </r>
  <r>
    <x v="1"/>
    <x v="195"/>
    <x v="39"/>
    <x v="0"/>
  </r>
  <r>
    <x v="0"/>
    <x v="196"/>
    <x v="13"/>
    <x v="0"/>
  </r>
  <r>
    <x v="0"/>
    <x v="196"/>
    <x v="0"/>
    <x v="0"/>
  </r>
  <r>
    <x v="0"/>
    <x v="197"/>
    <x v="15"/>
    <x v="3"/>
  </r>
  <r>
    <x v="0"/>
    <x v="197"/>
    <x v="12"/>
    <x v="3"/>
  </r>
  <r>
    <x v="0"/>
    <x v="197"/>
    <x v="57"/>
    <x v="3"/>
  </r>
  <r>
    <x v="0"/>
    <x v="198"/>
    <x v="19"/>
    <x v="0"/>
  </r>
  <r>
    <x v="0"/>
    <x v="199"/>
    <x v="122"/>
    <x v="3"/>
  </r>
  <r>
    <x v="1"/>
    <x v="200"/>
    <x v="7"/>
    <x v="3"/>
  </r>
  <r>
    <x v="0"/>
    <x v="201"/>
    <x v="123"/>
    <x v="6"/>
  </r>
  <r>
    <x v="0"/>
    <x v="201"/>
    <x v="88"/>
    <x v="6"/>
  </r>
  <r>
    <x v="0"/>
    <x v="201"/>
    <x v="46"/>
    <x v="6"/>
  </r>
  <r>
    <x v="0"/>
    <x v="201"/>
    <x v="91"/>
    <x v="6"/>
  </r>
  <r>
    <x v="0"/>
    <x v="201"/>
    <x v="92"/>
    <x v="6"/>
  </r>
  <r>
    <x v="0"/>
    <x v="201"/>
    <x v="49"/>
    <x v="6"/>
  </r>
  <r>
    <x v="1"/>
    <x v="202"/>
    <x v="37"/>
    <x v="2"/>
  </r>
  <r>
    <x v="3"/>
    <x v="203"/>
    <x v="39"/>
    <x v="5"/>
  </r>
  <r>
    <x v="3"/>
    <x v="203"/>
    <x v="37"/>
    <x v="5"/>
  </r>
  <r>
    <x v="3"/>
    <x v="203"/>
    <x v="4"/>
    <x v="5"/>
  </r>
  <r>
    <x v="1"/>
    <x v="204"/>
    <x v="68"/>
    <x v="3"/>
  </r>
  <r>
    <x v="1"/>
    <x v="205"/>
    <x v="37"/>
    <x v="5"/>
  </r>
  <r>
    <x v="3"/>
    <x v="206"/>
    <x v="37"/>
    <x v="5"/>
  </r>
  <r>
    <x v="1"/>
    <x v="207"/>
    <x v="56"/>
    <x v="3"/>
  </r>
  <r>
    <x v="1"/>
    <x v="207"/>
    <x v="37"/>
    <x v="3"/>
  </r>
  <r>
    <x v="0"/>
    <x v="207"/>
    <x v="23"/>
    <x v="3"/>
  </r>
  <r>
    <x v="0"/>
    <x v="207"/>
    <x v="21"/>
    <x v="3"/>
  </r>
  <r>
    <x v="0"/>
    <x v="208"/>
    <x v="1"/>
    <x v="0"/>
  </r>
  <r>
    <x v="2"/>
    <x v="209"/>
    <x v="6"/>
    <x v="3"/>
  </r>
  <r>
    <x v="1"/>
    <x v="209"/>
    <x v="7"/>
    <x v="3"/>
  </r>
  <r>
    <x v="0"/>
    <x v="210"/>
    <x v="12"/>
    <x v="2"/>
  </r>
  <r>
    <x v="0"/>
    <x v="211"/>
    <x v="45"/>
    <x v="6"/>
  </r>
  <r>
    <x v="1"/>
    <x v="212"/>
    <x v="5"/>
    <x v="6"/>
  </r>
  <r>
    <x v="0"/>
    <x v="212"/>
    <x v="45"/>
    <x v="6"/>
  </r>
  <r>
    <x v="1"/>
    <x v="213"/>
    <x v="34"/>
    <x v="3"/>
  </r>
  <r>
    <x v="1"/>
    <x v="213"/>
    <x v="66"/>
    <x v="3"/>
  </r>
  <r>
    <x v="1"/>
    <x v="213"/>
    <x v="37"/>
    <x v="3"/>
  </r>
  <r>
    <x v="1"/>
    <x v="213"/>
    <x v="7"/>
    <x v="3"/>
  </r>
  <r>
    <x v="3"/>
    <x v="214"/>
    <x v="107"/>
    <x v="1"/>
  </r>
  <r>
    <x v="3"/>
    <x v="215"/>
    <x v="10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" cacheId="5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compact="0" compactData="0" multipleFieldFilters="0">
  <location ref="A3:D455" firstHeaderRow="1" firstDataRow="1" firstDataCol="4"/>
  <pivotFields count="4">
    <pivotField axis="axisRow" compact="0" outline="0" showAll="0" defaultSubtotal="0">
      <items count="4">
        <item x="2"/>
        <item x="3"/>
        <item x="1"/>
        <item x="0"/>
      </items>
    </pivotField>
    <pivotField axis="axisRow" compact="0" outline="0" showAll="0" defaultSubtotal="0">
      <items count="219">
        <item x="0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3"/>
        <item x="44"/>
        <item x="45"/>
        <item x="46"/>
        <item x="48"/>
        <item x="49"/>
        <item x="50"/>
        <item x="51"/>
        <item x="53"/>
        <item x="54"/>
        <item m="1" x="218"/>
        <item x="56"/>
        <item x="58"/>
        <item x="60"/>
        <item x="61"/>
        <item x="64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3"/>
        <item x="104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8"/>
        <item x="129"/>
        <item x="130"/>
        <item x="131"/>
        <item x="132"/>
        <item x="134"/>
        <item x="135"/>
        <item x="138"/>
        <item x="139"/>
        <item x="140"/>
        <item x="142"/>
        <item x="143"/>
        <item x="144"/>
        <item x="145"/>
        <item x="146"/>
        <item x="147"/>
        <item x="150"/>
        <item x="151"/>
        <item x="153"/>
        <item x="154"/>
        <item x="155"/>
        <item x="156"/>
        <item x="158"/>
        <item x="160"/>
        <item x="161"/>
        <item x="162"/>
        <item x="163"/>
        <item x="164"/>
        <item m="1" x="216"/>
        <item x="165"/>
        <item x="166"/>
        <item x="167"/>
        <item x="168"/>
        <item x="169"/>
        <item x="170"/>
        <item m="1" x="217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2"/>
        <item x="213"/>
        <item x="105"/>
        <item x="152"/>
        <item x="127"/>
        <item x="171"/>
        <item x="141"/>
        <item x="133"/>
        <item x="52"/>
        <item x="59"/>
        <item x="210"/>
        <item x="137"/>
        <item x="19"/>
        <item x="1"/>
        <item x="157"/>
        <item x="12"/>
        <item x="159"/>
        <item x="41"/>
        <item x="47"/>
        <item x="65"/>
        <item x="121"/>
        <item x="57"/>
        <item x="62"/>
        <item x="63"/>
        <item x="136"/>
        <item x="149"/>
        <item x="186"/>
        <item x="198"/>
        <item x="211"/>
        <item x="26"/>
        <item x="70"/>
        <item x="55"/>
        <item x="80"/>
        <item x="148"/>
        <item x="42"/>
        <item x="20"/>
        <item x="37"/>
        <item x="102"/>
        <item x="110"/>
        <item x="214"/>
        <item x="215"/>
      </items>
    </pivotField>
    <pivotField axis="axisRow" compact="0" outline="0" showAll="0" defaultSubtotal="0">
      <items count="132">
        <item x="107"/>
        <item x="86"/>
        <item x="93"/>
        <item x="98"/>
        <item x="99"/>
        <item x="48"/>
        <item x="14"/>
        <item x="15"/>
        <item x="0"/>
        <item x="1"/>
        <item x="40"/>
        <item x="36"/>
        <item x="16"/>
        <item x="17"/>
        <item m="1" x="130"/>
        <item x="80"/>
        <item x="11"/>
        <item m="1" x="127"/>
        <item x="21"/>
        <item m="1" x="125"/>
        <item x="122"/>
        <item x="12"/>
        <item x="66"/>
        <item m="1" x="129"/>
        <item x="45"/>
        <item x="85"/>
        <item x="39"/>
        <item x="57"/>
        <item x="23"/>
        <item x="37"/>
        <item x="95"/>
        <item x="24"/>
        <item x="82"/>
        <item x="46"/>
        <item x="79"/>
        <item x="64"/>
        <item x="65"/>
        <item x="47"/>
        <item x="91"/>
        <item x="50"/>
        <item x="62"/>
        <item x="51"/>
        <item x="102"/>
        <item x="112"/>
        <item x="117"/>
        <item x="54"/>
        <item x="84"/>
        <item x="105"/>
        <item x="41"/>
        <item x="101"/>
        <item x="59"/>
        <item x="60"/>
        <item x="61"/>
        <item x="42"/>
        <item x="43"/>
        <item x="90"/>
        <item x="106"/>
        <item x="97"/>
        <item x="100"/>
        <item m="1" x="124"/>
        <item m="1" x="126"/>
        <item m="1" x="131"/>
        <item x="5"/>
        <item x="44"/>
        <item x="4"/>
        <item x="35"/>
        <item x="25"/>
        <item x="7"/>
        <item x="92"/>
        <item x="55"/>
        <item x="119"/>
        <item x="8"/>
        <item x="52"/>
        <item x="9"/>
        <item x="53"/>
        <item x="118"/>
        <item x="10"/>
        <item x="6"/>
        <item x="121"/>
        <item x="120"/>
        <item x="96"/>
        <item x="27"/>
        <item x="109"/>
        <item x="49"/>
        <item x="58"/>
        <item x="81"/>
        <item x="87"/>
        <item x="104"/>
        <item x="13"/>
        <item x="26"/>
        <item x="19"/>
        <item x="110"/>
        <item x="38"/>
        <item x="72"/>
        <item x="73"/>
        <item x="69"/>
        <item x="70"/>
        <item x="75"/>
        <item x="71"/>
        <item x="74"/>
        <item x="78"/>
        <item x="77"/>
        <item x="113"/>
        <item x="63"/>
        <item m="1" x="128"/>
        <item x="31"/>
        <item x="3"/>
        <item x="111"/>
        <item x="88"/>
        <item x="123"/>
        <item x="2"/>
        <item x="76"/>
        <item x="83"/>
        <item x="89"/>
        <item x="103"/>
        <item x="114"/>
        <item x="115"/>
        <item x="116"/>
        <item x="94"/>
        <item x="18"/>
        <item x="20"/>
        <item x="22"/>
        <item x="28"/>
        <item x="29"/>
        <item x="30"/>
        <item x="32"/>
        <item x="33"/>
        <item x="34"/>
        <item x="56"/>
        <item x="67"/>
        <item x="68"/>
        <item x="108"/>
      </items>
    </pivotField>
    <pivotField axis="axisRow" compact="0" outline="0" showAll="0" defaultSubtotal="0">
      <items count="11">
        <item x="9"/>
        <item x="8"/>
        <item x="4"/>
        <item x="0"/>
        <item x="6"/>
        <item x="3"/>
        <item x="2"/>
        <item x="1"/>
        <item x="10"/>
        <item x="5"/>
        <item x="7"/>
      </items>
    </pivotField>
  </pivotFields>
  <rowFields count="4">
    <field x="3"/>
    <field x="0"/>
    <field x="1"/>
    <field x="2"/>
  </rowFields>
  <rowItems count="452">
    <i>
      <x/>
      <x v="2"/>
      <x v="112"/>
      <x v="26"/>
    </i>
    <i r="1">
      <x v="3"/>
      <x v="66"/>
      <x v="32"/>
    </i>
    <i r="2">
      <x v="113"/>
      <x v="25"/>
    </i>
    <i r="3">
      <x v="33"/>
    </i>
    <i r="2">
      <x v="199"/>
      <x v="111"/>
    </i>
    <i r="2">
      <x v="201"/>
      <x v="24"/>
    </i>
    <i r="3">
      <x v="85"/>
    </i>
    <i r="2">
      <x v="203"/>
      <x v="24"/>
    </i>
    <i r="3">
      <x v="116"/>
    </i>
    <i r="2">
      <x v="204"/>
      <x v="116"/>
    </i>
    <i>
      <x v="1"/>
      <x/>
      <x v="27"/>
      <x v="50"/>
    </i>
    <i r="3">
      <x v="51"/>
    </i>
    <i r="3">
      <x v="52"/>
    </i>
    <i r="2">
      <x v="30"/>
      <x v="35"/>
    </i>
    <i r="3">
      <x v="36"/>
    </i>
    <i r="2">
      <x v="37"/>
      <x v="36"/>
    </i>
    <i r="3">
      <x v="50"/>
    </i>
    <i r="3">
      <x v="52"/>
    </i>
    <i r="2">
      <x v="69"/>
      <x v="50"/>
    </i>
    <i r="2">
      <x v="81"/>
      <x v="50"/>
    </i>
    <i r="2">
      <x v="152"/>
      <x v="56"/>
    </i>
    <i r="1">
      <x v="2"/>
      <x v="23"/>
      <x v="63"/>
    </i>
    <i r="1">
      <x v="3"/>
      <x v="52"/>
      <x v="2"/>
    </i>
    <i r="2">
      <x v="69"/>
      <x v="3"/>
    </i>
    <i r="3">
      <x v="4"/>
    </i>
    <i r="2">
      <x v="70"/>
      <x v="3"/>
    </i>
    <i>
      <x v="2"/>
      <x/>
      <x v="5"/>
      <x v="71"/>
    </i>
    <i r="3">
      <x v="73"/>
    </i>
    <i r="3">
      <x v="76"/>
    </i>
    <i r="3">
      <x v="77"/>
    </i>
    <i r="2">
      <x v="21"/>
      <x v="71"/>
    </i>
    <i r="3">
      <x v="73"/>
    </i>
    <i r="3">
      <x v="76"/>
    </i>
    <i r="3">
      <x v="77"/>
    </i>
    <i r="2">
      <x v="147"/>
      <x v="71"/>
    </i>
    <i r="3">
      <x v="73"/>
    </i>
    <i r="3">
      <x v="76"/>
    </i>
    <i r="3">
      <x v="77"/>
    </i>
    <i r="1">
      <x v="1"/>
      <x v="147"/>
      <x/>
    </i>
    <i r="1">
      <x v="2"/>
      <x v="147"/>
      <x v="22"/>
    </i>
    <i r="3">
      <x v="26"/>
    </i>
    <i r="3">
      <x v="29"/>
    </i>
    <i r="3">
      <x v="64"/>
    </i>
    <i r="3">
      <x v="127"/>
    </i>
    <i r="3">
      <x v="128"/>
    </i>
    <i r="3">
      <x v="130"/>
    </i>
    <i r="1">
      <x v="3"/>
      <x v="5"/>
      <x v="6"/>
    </i>
    <i r="3">
      <x v="7"/>
    </i>
    <i r="3">
      <x v="12"/>
    </i>
    <i r="3">
      <x v="13"/>
    </i>
    <i r="3">
      <x v="16"/>
    </i>
    <i r="3">
      <x v="18"/>
    </i>
    <i r="3">
      <x v="21"/>
    </i>
    <i r="3">
      <x v="28"/>
    </i>
    <i r="3">
      <x v="31"/>
    </i>
    <i r="3">
      <x v="66"/>
    </i>
    <i r="3">
      <x v="81"/>
    </i>
    <i r="3">
      <x v="88"/>
    </i>
    <i r="3">
      <x v="89"/>
    </i>
    <i r="3">
      <x v="90"/>
    </i>
    <i r="3">
      <x v="105"/>
    </i>
    <i r="3">
      <x v="119"/>
    </i>
    <i r="3"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2">
      <x v="21"/>
      <x v="28"/>
    </i>
    <i r="3">
      <x v="31"/>
    </i>
    <i r="3">
      <x v="66"/>
    </i>
    <i r="2">
      <x v="44"/>
      <x v="28"/>
    </i>
    <i r="3">
      <x v="31"/>
    </i>
    <i r="3">
      <x v="66"/>
    </i>
    <i>
      <x v="3"/>
      <x/>
      <x v="34"/>
      <x v="71"/>
    </i>
    <i r="2">
      <x v="125"/>
      <x v="69"/>
    </i>
    <i r="3">
      <x v="72"/>
    </i>
    <i r="3">
      <x v="74"/>
    </i>
    <i r="2">
      <x v="139"/>
      <x v="71"/>
    </i>
    <i r="3">
      <x v="76"/>
    </i>
    <i r="3">
      <x v="77"/>
    </i>
    <i r="2">
      <x v="146"/>
      <x v="69"/>
    </i>
    <i r="1">
      <x v="2"/>
      <x v="20"/>
      <x v="26"/>
    </i>
    <i r="3">
      <x v="128"/>
    </i>
    <i r="2">
      <x v="39"/>
      <x v="130"/>
    </i>
    <i r="2">
      <x v="125"/>
      <x v="127"/>
    </i>
    <i r="2">
      <x v="164"/>
      <x v="26"/>
    </i>
    <i r="2">
      <x v="214"/>
      <x v="29"/>
    </i>
    <i r="1">
      <x v="3"/>
      <x/>
      <x v="8"/>
    </i>
    <i r="3">
      <x v="9"/>
    </i>
    <i r="3">
      <x v="110"/>
    </i>
    <i r="2">
      <x v="7"/>
      <x v="11"/>
    </i>
    <i r="3">
      <x v="12"/>
    </i>
    <i r="3">
      <x v="89"/>
    </i>
    <i r="2">
      <x v="12"/>
      <x v="10"/>
    </i>
    <i r="2">
      <x v="20"/>
      <x v="27"/>
    </i>
    <i r="2">
      <x v="43"/>
      <x v="18"/>
    </i>
    <i r="3">
      <x v="31"/>
    </i>
    <i r="2">
      <x v="57"/>
      <x v="6"/>
    </i>
    <i r="2">
      <x v="75"/>
      <x v="12"/>
    </i>
    <i r="2">
      <x v="88"/>
      <x v="5"/>
    </i>
    <i r="2">
      <x v="89"/>
      <x v="30"/>
    </i>
    <i r="2">
      <x v="90"/>
      <x v="21"/>
    </i>
    <i r="2">
      <x v="97"/>
      <x v="66"/>
    </i>
    <i r="2">
      <x v="104"/>
      <x v="10"/>
    </i>
    <i r="3">
      <x v="16"/>
    </i>
    <i r="3">
      <x v="31"/>
    </i>
    <i r="2">
      <x v="106"/>
      <x v="12"/>
    </i>
    <i r="3">
      <x v="13"/>
    </i>
    <i r="3">
      <x v="90"/>
    </i>
    <i r="2">
      <x v="124"/>
      <x v="10"/>
    </i>
    <i r="3">
      <x v="16"/>
    </i>
    <i r="2">
      <x v="126"/>
      <x v="16"/>
    </i>
    <i r="2">
      <x v="138"/>
      <x v="31"/>
    </i>
    <i r="2">
      <x v="140"/>
      <x v="7"/>
    </i>
    <i r="2">
      <x v="165"/>
      <x v="8"/>
    </i>
    <i r="3">
      <x v="88"/>
    </i>
    <i r="2">
      <x v="176"/>
      <x v="9"/>
    </i>
    <i r="2">
      <x v="180"/>
      <x v="6"/>
    </i>
    <i r="3">
      <x v="7"/>
    </i>
    <i r="3">
      <x v="8"/>
    </i>
    <i r="3">
      <x v="9"/>
    </i>
    <i r="3">
      <x v="10"/>
    </i>
    <i r="3">
      <x v="21"/>
    </i>
    <i r="3">
      <x v="87"/>
    </i>
    <i r="2">
      <x v="181"/>
      <x v="8"/>
    </i>
    <i r="3">
      <x v="10"/>
    </i>
    <i r="2">
      <x v="182"/>
      <x v="12"/>
    </i>
    <i r="2">
      <x v="190"/>
      <x v="5"/>
    </i>
    <i r="3">
      <x v="18"/>
    </i>
    <i r="2">
      <x v="205"/>
      <x v="90"/>
    </i>
    <i r="2">
      <x v="210"/>
      <x v="31"/>
    </i>
    <i r="2">
      <x v="211"/>
      <x v="28"/>
    </i>
    <i r="2">
      <x v="212"/>
      <x v="10"/>
    </i>
    <i r="3">
      <x v="16"/>
    </i>
    <i r="3">
      <x v="21"/>
    </i>
    <i>
      <x v="4"/>
      <x/>
      <x v="15"/>
      <x v="48"/>
    </i>
    <i r="3">
      <x v="53"/>
    </i>
    <i r="3">
      <x v="54"/>
    </i>
    <i r="2">
      <x v="18"/>
      <x v="45"/>
    </i>
    <i r="3">
      <x v="69"/>
    </i>
    <i r="2">
      <x v="28"/>
      <x v="40"/>
    </i>
    <i r="2">
      <x v="35"/>
      <x v="45"/>
    </i>
    <i r="2">
      <x v="40"/>
      <x v="45"/>
    </i>
    <i r="2">
      <x v="48"/>
      <x v="34"/>
    </i>
    <i r="2">
      <x v="49"/>
      <x v="46"/>
    </i>
    <i r="2">
      <x v="51"/>
      <x v="46"/>
    </i>
    <i r="3">
      <x v="55"/>
    </i>
    <i r="2">
      <x v="56"/>
      <x v="40"/>
    </i>
    <i r="2">
      <x v="80"/>
      <x v="48"/>
    </i>
    <i r="3">
      <x v="49"/>
    </i>
    <i r="2">
      <x v="96"/>
      <x v="41"/>
    </i>
    <i r="3">
      <x v="51"/>
    </i>
    <i r="2">
      <x v="111"/>
      <x v="43"/>
    </i>
    <i r="2">
      <x v="119"/>
      <x v="41"/>
    </i>
    <i r="3">
      <x v="45"/>
    </i>
    <i r="2">
      <x v="120"/>
      <x v="45"/>
    </i>
    <i r="2">
      <x v="153"/>
      <x v="46"/>
    </i>
    <i r="2">
      <x v="163"/>
      <x v="45"/>
    </i>
    <i r="2">
      <x v="215"/>
      <x v="45"/>
    </i>
    <i r="1">
      <x v="2"/>
      <x v="15"/>
      <x v="63"/>
    </i>
    <i r="2">
      <x v="16"/>
      <x v="64"/>
    </i>
    <i r="2">
      <x v="48"/>
      <x v="64"/>
    </i>
    <i r="2">
      <x v="50"/>
      <x v="29"/>
    </i>
    <i r="2">
      <x v="86"/>
      <x v="64"/>
    </i>
    <i r="2">
      <x v="178"/>
      <x v="62"/>
    </i>
    <i r="1">
      <x v="3"/>
      <x v="16"/>
      <x v="16"/>
    </i>
    <i r="3">
      <x v="24"/>
    </i>
    <i r="3">
      <x v="33"/>
    </i>
    <i r="3">
      <x v="37"/>
    </i>
    <i r="2">
      <x v="22"/>
      <x v="84"/>
    </i>
    <i r="2">
      <x v="48"/>
      <x v="15"/>
    </i>
    <i r="3">
      <x v="32"/>
    </i>
    <i r="3">
      <x v="85"/>
    </i>
    <i r="3">
      <x v="112"/>
    </i>
    <i r="2">
      <x v="49"/>
      <x v="1"/>
    </i>
    <i r="3">
      <x v="25"/>
    </i>
    <i r="3">
      <x v="83"/>
    </i>
    <i r="2">
      <x v="50"/>
      <x v="108"/>
    </i>
    <i r="3">
      <x v="112"/>
    </i>
    <i r="3">
      <x v="113"/>
    </i>
    <i r="2">
      <x v="51"/>
      <x v="33"/>
    </i>
    <i r="3">
      <x v="38"/>
    </i>
    <i r="3">
      <x v="68"/>
    </i>
    <i r="3">
      <x v="83"/>
    </i>
    <i r="3">
      <x v="86"/>
    </i>
    <i r="2">
      <x v="56"/>
      <x v="27"/>
    </i>
    <i r="3">
      <x v="86"/>
    </i>
    <i r="2">
      <x v="65"/>
      <x v="30"/>
    </i>
    <i r="3">
      <x v="80"/>
    </i>
    <i r="2">
      <x v="68"/>
      <x v="86"/>
    </i>
    <i r="2">
      <x v="86"/>
      <x v="31"/>
    </i>
    <i r="3">
      <x v="81"/>
    </i>
    <i r="3">
      <x v="114"/>
    </i>
    <i r="2">
      <x v="96"/>
      <x v="86"/>
    </i>
    <i r="2">
      <x v="119"/>
      <x v="32"/>
    </i>
    <i r="3">
      <x v="83"/>
    </i>
    <i r="3">
      <x v="117"/>
    </i>
    <i r="2">
      <x v="153"/>
      <x v="1"/>
    </i>
    <i r="3">
      <x v="25"/>
    </i>
    <i r="3">
      <x v="86"/>
    </i>
    <i r="2">
      <x v="169"/>
      <x v="33"/>
    </i>
    <i r="3">
      <x v="38"/>
    </i>
    <i r="3">
      <x v="68"/>
    </i>
    <i r="3">
      <x v="83"/>
    </i>
    <i r="3">
      <x v="108"/>
    </i>
    <i r="3">
      <x v="109"/>
    </i>
    <i r="2">
      <x v="178"/>
      <x v="24"/>
    </i>
    <i r="2">
      <x v="200"/>
      <x v="24"/>
    </i>
    <i r="3">
      <x v="86"/>
    </i>
    <i r="2">
      <x v="206"/>
      <x v="24"/>
    </i>
    <i r="2">
      <x v="208"/>
      <x v="118"/>
    </i>
    <i r="2">
      <x v="213"/>
      <x v="83"/>
    </i>
    <i>
      <x v="5"/>
      <x/>
      <x v="4"/>
      <x v="77"/>
    </i>
    <i r="2">
      <x v="14"/>
      <x v="71"/>
    </i>
    <i r="3">
      <x v="73"/>
    </i>
    <i r="2">
      <x v="17"/>
      <x v="39"/>
    </i>
    <i r="3">
      <x v="41"/>
    </i>
    <i r="3">
      <x v="72"/>
    </i>
    <i r="3">
      <x v="74"/>
    </i>
    <i r="2">
      <x v="47"/>
      <x v="71"/>
    </i>
    <i r="3">
      <x v="73"/>
    </i>
    <i r="2">
      <x v="67"/>
      <x v="57"/>
    </i>
    <i r="2">
      <x v="71"/>
      <x v="76"/>
    </i>
    <i r="3">
      <x v="77"/>
    </i>
    <i r="2">
      <x v="79"/>
      <x v="58"/>
    </i>
    <i r="2">
      <x v="151"/>
      <x v="76"/>
    </i>
    <i r="3">
      <x v="77"/>
    </i>
    <i r="2">
      <x v="177"/>
      <x v="77"/>
    </i>
    <i r="1">
      <x v="1"/>
      <x v="60"/>
      <x v="65"/>
    </i>
    <i r="1">
      <x v="2"/>
      <x v="2"/>
      <x v="62"/>
    </i>
    <i r="2">
      <x v="3"/>
      <x v="62"/>
    </i>
    <i r="2">
      <x v="4"/>
      <x v="67"/>
    </i>
    <i r="2">
      <x v="6"/>
      <x v="127"/>
    </i>
    <i r="2">
      <x v="8"/>
      <x v="29"/>
    </i>
    <i r="3">
      <x v="67"/>
    </i>
    <i r="3">
      <x v="127"/>
    </i>
    <i r="2">
      <x v="13"/>
      <x v="67"/>
    </i>
    <i r="2">
      <x v="24"/>
      <x v="62"/>
    </i>
    <i r="3">
      <x v="67"/>
    </i>
    <i r="2">
      <x v="31"/>
      <x v="29"/>
    </i>
    <i r="2">
      <x v="32"/>
      <x v="127"/>
    </i>
    <i r="2">
      <x v="33"/>
      <x v="22"/>
    </i>
    <i r="3">
      <x v="67"/>
    </i>
    <i r="2">
      <x v="36"/>
      <x v="127"/>
    </i>
    <i r="2">
      <x v="41"/>
      <x v="130"/>
    </i>
    <i r="2">
      <x v="42"/>
      <x v="22"/>
    </i>
    <i r="3">
      <x v="29"/>
    </i>
    <i r="3">
      <x v="67"/>
    </i>
    <i r="3">
      <x v="127"/>
    </i>
    <i r="2">
      <x v="47"/>
      <x v="29"/>
    </i>
    <i r="3">
      <x v="127"/>
    </i>
    <i r="2">
      <x v="53"/>
      <x v="29"/>
    </i>
    <i r="2">
      <x v="54"/>
      <x v="64"/>
    </i>
    <i r="2">
      <x v="58"/>
      <x v="67"/>
    </i>
    <i r="2">
      <x v="61"/>
      <x v="67"/>
    </i>
    <i r="2">
      <x v="63"/>
      <x v="67"/>
    </i>
    <i r="2">
      <x v="64"/>
      <x v="127"/>
    </i>
    <i r="2">
      <x v="73"/>
      <x v="29"/>
    </i>
    <i r="3">
      <x v="67"/>
    </i>
    <i r="2">
      <x v="74"/>
      <x v="67"/>
    </i>
    <i r="2">
      <x v="76"/>
      <x v="29"/>
    </i>
    <i r="2">
      <x v="78"/>
      <x v="29"/>
    </i>
    <i r="2">
      <x v="85"/>
      <x v="22"/>
    </i>
    <i r="3">
      <x v="29"/>
    </i>
    <i r="3">
      <x v="67"/>
    </i>
    <i r="3">
      <x v="128"/>
    </i>
    <i r="2">
      <x v="100"/>
      <x v="127"/>
    </i>
    <i r="2">
      <x v="103"/>
      <x v="26"/>
    </i>
    <i r="3">
      <x v="127"/>
    </i>
    <i r="2">
      <x v="108"/>
      <x v="29"/>
    </i>
    <i r="3">
      <x v="67"/>
    </i>
    <i r="2">
      <x v="123"/>
      <x v="64"/>
    </i>
    <i r="2">
      <x v="128"/>
      <x v="128"/>
    </i>
    <i r="2">
      <x v="129"/>
      <x v="67"/>
    </i>
    <i r="2">
      <x v="130"/>
      <x v="22"/>
    </i>
    <i r="3">
      <x v="67"/>
    </i>
    <i r="3">
      <x v="128"/>
    </i>
    <i r="2">
      <x v="142"/>
      <x v="29"/>
    </i>
    <i r="2">
      <x v="151"/>
      <x v="29"/>
    </i>
    <i r="3">
      <x v="64"/>
    </i>
    <i r="3">
      <x v="127"/>
    </i>
    <i r="2">
      <x v="154"/>
      <x v="64"/>
    </i>
    <i r="2">
      <x v="156"/>
      <x v="67"/>
    </i>
    <i r="2">
      <x v="157"/>
      <x v="62"/>
    </i>
    <i r="2">
      <x v="160"/>
      <x v="67"/>
    </i>
    <i r="2">
      <x v="161"/>
      <x v="22"/>
    </i>
    <i r="3">
      <x v="67"/>
    </i>
    <i r="2">
      <x v="162"/>
      <x v="67"/>
    </i>
    <i r="2">
      <x v="168"/>
      <x v="67"/>
    </i>
    <i r="2">
      <x v="172"/>
      <x v="130"/>
    </i>
    <i r="2">
      <x v="175"/>
      <x v="29"/>
    </i>
    <i r="3">
      <x v="128"/>
    </i>
    <i r="2">
      <x v="177"/>
      <x v="67"/>
    </i>
    <i r="2">
      <x v="179"/>
      <x v="22"/>
    </i>
    <i r="3">
      <x v="29"/>
    </i>
    <i r="3">
      <x v="67"/>
    </i>
    <i r="3">
      <x v="127"/>
    </i>
    <i r="1">
      <x v="3"/>
      <x v="6"/>
      <x v="65"/>
    </i>
    <i r="2">
      <x v="8"/>
      <x v="31"/>
    </i>
    <i r="2">
      <x v="9"/>
      <x v="66"/>
    </i>
    <i r="2">
      <x v="84"/>
      <x v="27"/>
    </i>
    <i r="3">
      <x v="30"/>
    </i>
    <i r="3">
      <x v="65"/>
    </i>
    <i r="2">
      <x v="109"/>
      <x v="65"/>
    </i>
    <i r="2">
      <x v="123"/>
      <x v="75"/>
    </i>
    <i r="2">
      <x v="130"/>
      <x v="18"/>
    </i>
    <i r="3">
      <x v="70"/>
    </i>
    <i r="2">
      <x v="137"/>
      <x v="66"/>
    </i>
    <i r="2">
      <x v="166"/>
      <x v="7"/>
    </i>
    <i r="3">
      <x v="21"/>
    </i>
    <i r="3">
      <x v="27"/>
    </i>
    <i r="2">
      <x v="167"/>
      <x v="20"/>
    </i>
    <i r="2">
      <x v="175"/>
      <x v="18"/>
    </i>
    <i r="3">
      <x v="28"/>
    </i>
    <i>
      <x v="6"/>
      <x/>
      <x v="82"/>
      <x v="42"/>
    </i>
    <i r="3">
      <x v="49"/>
    </i>
    <i r="2">
      <x v="83"/>
      <x v="69"/>
    </i>
    <i r="2">
      <x v="91"/>
      <x v="42"/>
    </i>
    <i r="3">
      <x v="47"/>
    </i>
    <i r="3">
      <x v="49"/>
    </i>
    <i r="3">
      <x v="56"/>
    </i>
    <i r="2">
      <x v="122"/>
      <x v="44"/>
    </i>
    <i r="3">
      <x v="49"/>
    </i>
    <i r="2">
      <x v="150"/>
      <x v="41"/>
    </i>
    <i r="3">
      <x v="42"/>
    </i>
    <i r="3">
      <x v="47"/>
    </i>
    <i r="3">
      <x v="49"/>
    </i>
    <i r="3">
      <x v="56"/>
    </i>
    <i r="3">
      <x v="69"/>
    </i>
    <i r="3">
      <x v="71"/>
    </i>
    <i r="3">
      <x v="72"/>
    </i>
    <i r="3">
      <x v="73"/>
    </i>
    <i r="3">
      <x v="74"/>
    </i>
    <i r="3">
      <x v="76"/>
    </i>
    <i r="3">
      <x v="77"/>
    </i>
    <i r="3">
      <x v="78"/>
    </i>
    <i r="3">
      <x v="79"/>
    </i>
    <i r="2">
      <x v="155"/>
      <x v="42"/>
    </i>
    <i r="3">
      <x v="47"/>
    </i>
    <i r="2">
      <x v="216"/>
      <x v="76"/>
    </i>
    <i r="1">
      <x v="1"/>
      <x v="92"/>
      <x/>
    </i>
    <i r="2">
      <x v="93"/>
      <x/>
    </i>
    <i r="2">
      <x v="183"/>
      <x v="91"/>
    </i>
    <i r="3">
      <x v="107"/>
    </i>
    <i r="2">
      <x v="184"/>
      <x v="91"/>
    </i>
    <i r="2">
      <x v="185"/>
      <x v="91"/>
    </i>
    <i r="3">
      <x v="107"/>
    </i>
    <i r="1">
      <x v="2"/>
      <x v="1"/>
      <x v="64"/>
    </i>
    <i r="2">
      <x v="46"/>
      <x v="64"/>
    </i>
    <i r="2">
      <x v="99"/>
      <x v="26"/>
    </i>
    <i r="2">
      <x v="102"/>
      <x v="64"/>
    </i>
    <i r="2">
      <x v="170"/>
      <x v="29"/>
    </i>
    <i r="2">
      <x v="209"/>
      <x v="64"/>
    </i>
    <i r="1">
      <x v="3"/>
      <x v="10"/>
      <x v="92"/>
    </i>
    <i r="2">
      <x v="29"/>
      <x v="103"/>
    </i>
    <i r="2">
      <x v="145"/>
      <x v="66"/>
    </i>
    <i r="2">
      <x v="158"/>
      <x v="65"/>
    </i>
    <i r="2">
      <x v="186"/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2">
      <x v="187"/>
      <x v="100"/>
    </i>
    <i r="3">
      <x v="101"/>
    </i>
    <i r="2">
      <x v="188"/>
      <x v="21"/>
    </i>
    <i r="2">
      <x v="189"/>
      <x v="24"/>
    </i>
    <i r="3">
      <x v="102"/>
    </i>
    <i r="3">
      <x v="115"/>
    </i>
    <i r="3">
      <x v="116"/>
    </i>
    <i>
      <x v="7"/>
      <x/>
      <x v="19"/>
      <x v="71"/>
    </i>
    <i r="2">
      <x v="77"/>
      <x v="71"/>
    </i>
    <i r="3">
      <x v="73"/>
    </i>
    <i r="2">
      <x v="132"/>
      <x v="46"/>
    </i>
    <i r="2">
      <x v="133"/>
      <x v="69"/>
    </i>
    <i r="3">
      <x v="74"/>
    </i>
    <i r="2">
      <x v="136"/>
      <x v="73"/>
    </i>
    <i r="2">
      <x v="148"/>
      <x v="79"/>
    </i>
    <i r="2">
      <x v="149"/>
      <x v="71"/>
    </i>
    <i r="3">
      <x v="73"/>
    </i>
    <i r="3">
      <x v="76"/>
    </i>
    <i r="3">
      <x v="77"/>
    </i>
    <i r="2">
      <x v="194"/>
      <x v="76"/>
    </i>
    <i r="2">
      <x v="198"/>
      <x v="71"/>
    </i>
    <i r="3">
      <x v="73"/>
    </i>
    <i r="3">
      <x v="76"/>
    </i>
    <i r="3">
      <x v="77"/>
    </i>
    <i r="1">
      <x v="1"/>
      <x v="192"/>
      <x v="105"/>
    </i>
    <i r="2">
      <x v="193"/>
      <x v="65"/>
    </i>
    <i r="2">
      <x v="217"/>
      <x/>
    </i>
    <i r="2">
      <x v="218"/>
      <x/>
    </i>
    <i r="1">
      <x v="2"/>
      <x v="133"/>
      <x v="62"/>
    </i>
    <i r="2">
      <x v="191"/>
      <x v="106"/>
    </i>
    <i r="1">
      <x v="3"/>
      <x v="131"/>
      <x v="66"/>
    </i>
    <i r="2">
      <x v="195"/>
      <x v="27"/>
    </i>
    <i r="3">
      <x v="28"/>
    </i>
    <i r="2">
      <x v="196"/>
      <x v="24"/>
    </i>
    <i r="2">
      <x v="197"/>
      <x v="28"/>
    </i>
    <i r="3">
      <x v="31"/>
    </i>
    <i r="2">
      <x v="202"/>
      <x v="24"/>
    </i>
    <i>
      <x v="8"/>
      <x v="3"/>
      <x v="105"/>
      <x v="66"/>
    </i>
    <i>
      <x v="9"/>
      <x v="1"/>
      <x v="114"/>
      <x v="26"/>
    </i>
    <i r="2">
      <x v="115"/>
      <x v="26"/>
    </i>
    <i r="3">
      <x v="29"/>
    </i>
    <i r="3">
      <x v="64"/>
    </i>
    <i r="2">
      <x v="127"/>
      <x v="26"/>
    </i>
    <i r="2">
      <x v="135"/>
      <x v="26"/>
    </i>
    <i r="2">
      <x v="144"/>
      <x v="26"/>
    </i>
    <i r="3">
      <x v="29"/>
    </i>
    <i r="2">
      <x v="171"/>
      <x v="26"/>
    </i>
    <i r="3">
      <x v="29"/>
    </i>
    <i r="3">
      <x v="64"/>
    </i>
    <i r="2">
      <x v="174"/>
      <x v="29"/>
    </i>
    <i r="1">
      <x v="2"/>
      <x v="11"/>
      <x v="26"/>
    </i>
    <i r="2">
      <x v="25"/>
      <x v="26"/>
    </i>
    <i r="2">
      <x v="26"/>
      <x v="26"/>
    </i>
    <i r="2">
      <x v="38"/>
      <x v="129"/>
    </i>
    <i r="2">
      <x v="55"/>
      <x v="26"/>
    </i>
    <i r="3">
      <x v="64"/>
    </i>
    <i r="2">
      <x v="59"/>
      <x v="26"/>
    </i>
    <i r="2">
      <x v="62"/>
      <x v="26"/>
    </i>
    <i r="2">
      <x v="72"/>
      <x v="29"/>
    </i>
    <i r="2">
      <x v="87"/>
      <x v="29"/>
    </i>
    <i r="2">
      <x v="94"/>
      <x v="26"/>
    </i>
    <i r="2">
      <x v="95"/>
      <x v="129"/>
    </i>
    <i r="3">
      <x v="131"/>
    </i>
    <i r="2">
      <x v="98"/>
      <x v="129"/>
    </i>
    <i r="2">
      <x v="101"/>
      <x v="29"/>
    </i>
    <i r="2">
      <x v="110"/>
      <x v="26"/>
    </i>
    <i r="2">
      <x v="117"/>
      <x v="26"/>
    </i>
    <i r="2">
      <x v="135"/>
      <x v="26"/>
    </i>
    <i r="3">
      <x v="64"/>
    </i>
    <i r="2">
      <x v="143"/>
      <x v="29"/>
    </i>
    <i r="2">
      <x v="159"/>
      <x v="29"/>
    </i>
    <i r="2">
      <x v="173"/>
      <x v="29"/>
    </i>
    <i r="1">
      <x v="3"/>
      <x v="11"/>
      <x v="81"/>
    </i>
    <i r="2">
      <x v="25"/>
      <x v="81"/>
    </i>
    <i r="2">
      <x v="26"/>
      <x v="81"/>
    </i>
    <i r="2">
      <x v="94"/>
      <x v="81"/>
    </i>
    <i r="2">
      <x v="107"/>
      <x v="81"/>
    </i>
    <i r="3">
      <x v="82"/>
    </i>
    <i r="2">
      <x v="115"/>
      <x v="4"/>
    </i>
    <i r="2">
      <x v="116"/>
      <x v="81"/>
    </i>
    <i r="2">
      <x v="117"/>
      <x v="4"/>
    </i>
    <i r="2">
      <x v="118"/>
      <x v="4"/>
    </i>
    <i r="2">
      <x v="121"/>
      <x v="81"/>
    </i>
    <i r="2">
      <x v="135"/>
      <x v="81"/>
    </i>
    <i>
      <x v="10"/>
      <x v="3"/>
      <x v="207"/>
      <x v="8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Клиенты" displayName="Клиенты" ref="A1:G220" totalsRowShown="0" headerRowDxfId="71" headerRowBorderDxfId="70" tableBorderDxfId="69" totalsRowBorderDxfId="68">
  <autoFilter ref="A1:G220"/>
  <tableColumns count="7">
    <tableColumn id="1" name="Клиент" dataDxfId="67"/>
    <tableColumn id="6" name="Менеджер" dataDxfId="66"/>
    <tableColumn id="2" name="Доставка" dataDxfId="65"/>
    <tableColumn id="3" name="Экспедитор" dataDxfId="64"/>
    <tableColumn id="4" name="Почта" dataDxfId="63"/>
    <tableColumn id="5" name="Не отсылать" dataDxfId="62"/>
    <tableColumn id="7" name="Контроль" dataDxfId="61">
      <calculatedColumnFormula>VLOOKUP(Клиенты[[#This Row],[Клиент]],Контракты[Клиент],1,FALSE)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Контракты" displayName="Контракты" ref="A1:D456" totalsRowShown="0" headerRowDxfId="60" dataDxfId="58" headerRowBorderDxfId="59" tableBorderDxfId="57" totalsRowBorderDxfId="56">
  <autoFilter ref="A1:D456">
    <filterColumn colId="0">
      <filters>
        <filter val="ВРУ"/>
      </filters>
    </filterColumn>
  </autoFilter>
  <sortState ref="A9:D453">
    <sortCondition ref="B1:B453"/>
  </sortState>
  <tableColumns count="4">
    <tableColumn id="3" name="БЕ" dataDxfId="55"/>
    <tableColumn id="1" name="Клиент" dataDxfId="54"/>
    <tableColumn id="2" name="Продукт" dataDxfId="53"/>
    <tableColumn id="4" name="Менеджер" dataDxfId="52">
      <calculatedColumnFormula>VLOOKUP(Контракты[[#This Row],[Клиент]],Клиенты[#All],2,FALSE)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0" name="Продукты" displayName="Продукты" ref="A1:C197" totalsRowShown="0" headerRowDxfId="51" dataDxfId="49" headerRowBorderDxfId="50" tableBorderDxfId="48" totalsRowBorderDxfId="47">
  <autoFilter ref="A1:C197"/>
  <tableColumns count="3">
    <tableColumn id="4" name="БЕ" dataDxfId="46"/>
    <tableColumn id="1" name="Продукт" dataDxfId="45"/>
    <tableColumn id="3" name="Для сортировки" dataDxfId="4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2" name="Менеджеры_lst" displayName="Менеджеры_lst" ref="G1:G15" totalsRowShown="0" headerRowDxfId="43" dataDxfId="41" headerRowBorderDxfId="42" tableBorderDxfId="40" totalsRowBorderDxfId="39">
  <autoFilter ref="G1:G15"/>
  <tableColumns count="1">
    <tableColumn id="1" name="Менеджер" dataDxfId="3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Доставка_lst" displayName="Доставка_lst" ref="C1:C5" totalsRowShown="0" headerRowDxfId="37" dataDxfId="35" headerRowBorderDxfId="36" tableBorderDxfId="34" totalsRowBorderDxfId="33">
  <autoFilter ref="C1:C5"/>
  <tableColumns count="1">
    <tableColumn id="1" name="Доставка" dataDxfId="3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" name="Экспедитор_lst" displayName="Экспедитор_lst" ref="E1:E14" totalsRowShown="0" headerRowDxfId="31" dataDxfId="29" headerRowBorderDxfId="30" tableBorderDxfId="28" totalsRowBorderDxfId="27">
  <autoFilter ref="E1:E14"/>
  <tableColumns count="1">
    <tableColumn id="1" name="Экспедитор" dataDxfId="2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6" name="БЕ_lst" displayName="БЕ_lst" ref="A1:A5" totalsRowShown="0" headerRowDxfId="25" dataDxfId="23" headerRowBorderDxfId="24" tableBorderDxfId="22" totalsRowBorderDxfId="21">
  <autoFilter ref="A1:A5"/>
  <tableColumns count="1">
    <tableColumn id="1" name="БЕ" dataDxfId="2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13" name="Письмо" displayName="Письмо" ref="A1:B20" totalsRowShown="0" headerRowDxfId="19" dataDxfId="17" headerRowBorderDxfId="18" tableBorderDxfId="16" totalsRowBorderDxfId="15">
  <autoFilter ref="A1:B20"/>
  <tableColumns count="2">
    <tableColumn id="1" name="Письмо" dataDxfId="14"/>
    <tableColumn id="2" name="Не отсылать" dataDxfId="1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Письмо2" displayName="Письмо2" ref="A1:B13" totalsRowShown="0" headerRowDxfId="12" headerRowBorderDxfId="11" tableBorderDxfId="10" totalsRowBorderDxfId="9">
  <autoFilter ref="A1:B13"/>
  <tableColumns count="2">
    <tableColumn id="1" name="Письмо" dataDxfId="8"/>
    <tableColumn id="2" name="Не отсылать" dataDxfId="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5" name="Инструкция" displayName="Инструкция" ref="A1:C9" totalsRowShown="0" headerRowDxfId="6" headerRowBorderDxfId="5" tableBorderDxfId="4" totalsRowBorderDxfId="3">
  <autoFilter ref="A1:C9"/>
  <tableColumns count="3">
    <tableColumn id="3" name="№" dataDxfId="2"/>
    <tableColumn id="1" name="Как формировать заявку" dataDxfId="1"/>
    <tableColumn id="2" name="Не отсылать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GarifullinNA@pdt-steklovolokno.ru,office@pdt-steklovolokno.ru" TargetMode="External"/><Relationship Id="rId13" Type="http://schemas.openxmlformats.org/officeDocument/2006/relationships/hyperlink" Target="mailto:kochetkov@glims.ru" TargetMode="External"/><Relationship Id="rId18" Type="http://schemas.openxmlformats.org/officeDocument/2006/relationships/hyperlink" Target="mailto:Buned.Gaibnazarov@Vitra-Russia.ru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mailto:Juriy.Pogodin@saint-gobain.com," TargetMode="External"/><Relationship Id="rId21" Type="http://schemas.openxmlformats.org/officeDocument/2006/relationships/hyperlink" Target="mailto:economist-2@9jn.ru" TargetMode="External"/><Relationship Id="rId7" Type="http://schemas.openxmlformats.org/officeDocument/2006/relationships/hyperlink" Target="mailto:Elena.markina@owenscorning.com" TargetMode="External"/><Relationship Id="rId12" Type="http://schemas.openxmlformats.org/officeDocument/2006/relationships/hyperlink" Target="mailto:Larisa.Grizunova@sibelco.com" TargetMode="External"/><Relationship Id="rId17" Type="http://schemas.openxmlformats.org/officeDocument/2006/relationships/hyperlink" Target="mailto:omtskreho@yandex.ru" TargetMode="External"/><Relationship Id="rId25" Type="http://schemas.openxmlformats.org/officeDocument/2006/relationships/hyperlink" Target="mailto:olesya.0903@mail.ru" TargetMode="External"/><Relationship Id="rId2" Type="http://schemas.openxmlformats.org/officeDocument/2006/relationships/hyperlink" Target="mailto:okel@ruscam.ru" TargetMode="External"/><Relationship Id="rId16" Type="http://schemas.openxmlformats.org/officeDocument/2006/relationships/hyperlink" Target="mailto:d.pichugin@dellakeramika.ru,kornilov@dellaceramica.ru" TargetMode="External"/><Relationship Id="rId20" Type="http://schemas.openxmlformats.org/officeDocument/2006/relationships/hyperlink" Target="mailto:a.sha0128@yandex.ru" TargetMode="External"/><Relationship Id="rId29" Type="http://schemas.openxmlformats.org/officeDocument/2006/relationships/comments" Target="../comments1.xml"/><Relationship Id="rId1" Type="http://schemas.openxmlformats.org/officeDocument/2006/relationships/hyperlink" Target="mailto:akimova@lzos.ru," TargetMode="External"/><Relationship Id="rId6" Type="http://schemas.openxmlformats.org/officeDocument/2006/relationships/hyperlink" Target="mailto:E.Rassudovskaya@murexin.ru,r.panasenko@murexin.ru" TargetMode="External"/><Relationship Id="rId11" Type="http://schemas.openxmlformats.org/officeDocument/2006/relationships/hyperlink" Target="mailto:tyapaikin@ruzsteklo.ru," TargetMode="External"/><Relationship Id="rId24" Type="http://schemas.openxmlformats.org/officeDocument/2006/relationships/hyperlink" Target="mailto:sergej.stepanov@daw-malino.ru,gennadiy.shtanko@caparol-malino.ru" TargetMode="External"/><Relationship Id="rId5" Type="http://schemas.openxmlformats.org/officeDocument/2006/relationships/hyperlink" Target="mailto:Alexander.Shipulin@knaufinsulation.com,Roman.Fedoseev@knaufinsulation.com" TargetMode="External"/><Relationship Id="rId15" Type="http://schemas.openxmlformats.org/officeDocument/2006/relationships/hyperlink" Target="mailto:RA@bolars.ru" TargetMode="External"/><Relationship Id="rId23" Type="http://schemas.openxmlformats.org/officeDocument/2006/relationships/hyperlink" Target="mailto:Svetlana.Maskaeva@eu.agc-flatglass.com" TargetMode="External"/><Relationship Id="rId28" Type="http://schemas.openxmlformats.org/officeDocument/2006/relationships/table" Target="../tables/table1.xml"/><Relationship Id="rId10" Type="http://schemas.openxmlformats.org/officeDocument/2006/relationships/hyperlink" Target="mailto:oootechnolit@mail.ru" TargetMode="External"/><Relationship Id="rId19" Type="http://schemas.openxmlformats.org/officeDocument/2006/relationships/hyperlink" Target="mailto:ivansnabjenie@mail.ru" TargetMode="External"/><Relationship Id="rId4" Type="http://schemas.openxmlformats.org/officeDocument/2006/relationships/hyperlink" Target="mailto:acquistikgz@italonceramica.ru,a.ivanov@italonceramica.ru" TargetMode="External"/><Relationship Id="rId9" Type="http://schemas.openxmlformats.org/officeDocument/2006/relationships/hyperlink" Target="mailto:DMartyshko@teploset.ru" TargetMode="External"/><Relationship Id="rId14" Type="http://schemas.openxmlformats.org/officeDocument/2006/relationships/hyperlink" Target="mailto:Oleg.Dryakhlov@rimera.com" TargetMode="External"/><Relationship Id="rId22" Type="http://schemas.openxmlformats.org/officeDocument/2006/relationships/hyperlink" Target="mailto:snab-kronos-spb@ya.ru" TargetMode="External"/><Relationship Id="rId27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Клиенты"/>
  <dimension ref="A1:G220"/>
  <sheetViews>
    <sheetView tabSelected="1" zoomScaleNormal="100" workbookViewId="0">
      <pane ySplit="1" topLeftCell="A2" activePane="bottomLeft" state="frozenSplit"/>
      <selection pane="bottomLeft" activeCell="A104" sqref="A104"/>
    </sheetView>
  </sheetViews>
  <sheetFormatPr defaultRowHeight="15" x14ac:dyDescent="0.25"/>
  <cols>
    <col min="1" max="1" width="41.42578125" customWidth="1"/>
    <col min="2" max="2" width="36.5703125" customWidth="1"/>
    <col min="3" max="3" width="22.7109375" customWidth="1"/>
    <col min="4" max="4" width="31.7109375" customWidth="1"/>
    <col min="5" max="5" width="76.85546875" style="11" customWidth="1"/>
    <col min="6" max="6" width="11" style="109" customWidth="1"/>
    <col min="7" max="7" width="47.42578125" customWidth="1"/>
    <col min="8" max="8" width="6.42578125" customWidth="1"/>
    <col min="9" max="9" width="54.28515625" customWidth="1"/>
  </cols>
  <sheetData>
    <row r="1" spans="1:7" x14ac:dyDescent="0.25">
      <c r="A1" s="42" t="s">
        <v>19</v>
      </c>
      <c r="B1" s="41" t="s">
        <v>52</v>
      </c>
      <c r="C1" s="41" t="s">
        <v>11</v>
      </c>
      <c r="D1" s="41" t="s">
        <v>20</v>
      </c>
      <c r="E1" s="41" t="s">
        <v>21</v>
      </c>
      <c r="F1" s="8" t="s">
        <v>36</v>
      </c>
      <c r="G1" s="43" t="s">
        <v>561</v>
      </c>
    </row>
    <row r="2" spans="1:7" x14ac:dyDescent="0.25">
      <c r="A2" s="18" t="s">
        <v>344</v>
      </c>
      <c r="B2" s="32" t="s">
        <v>41</v>
      </c>
      <c r="C2" s="30" t="s">
        <v>12</v>
      </c>
      <c r="D2" s="30" t="s">
        <v>345</v>
      </c>
      <c r="E2" s="32" t="s">
        <v>346</v>
      </c>
      <c r="F2" s="33"/>
      <c r="G2" s="18" t="str">
        <f>VLOOKUP(Клиенты[[#This Row],[Клиент]],Контракты[Клиент],1,FALSE)</f>
        <v>Акзо Нобель Лакокраска</v>
      </c>
    </row>
    <row r="3" spans="1:7" x14ac:dyDescent="0.25">
      <c r="A3" s="58" t="s">
        <v>592</v>
      </c>
      <c r="B3" s="55" t="s">
        <v>45</v>
      </c>
      <c r="C3" s="59" t="s">
        <v>10</v>
      </c>
      <c r="D3" s="59" t="s">
        <v>16</v>
      </c>
      <c r="E3" s="55" t="s">
        <v>593</v>
      </c>
      <c r="F3" s="33"/>
      <c r="G3" s="58" t="str">
        <f>VLOOKUP(Клиенты[[#This Row],[Клиент]],Контракты[Клиент],1,FALSE)</f>
        <v>Акинфий</v>
      </c>
    </row>
    <row r="4" spans="1:7" x14ac:dyDescent="0.25">
      <c r="A4" s="6" t="s">
        <v>64</v>
      </c>
      <c r="B4" s="24" t="s">
        <v>44</v>
      </c>
      <c r="C4" s="7" t="s">
        <v>13</v>
      </c>
      <c r="D4" s="7" t="s">
        <v>14</v>
      </c>
      <c r="E4" s="44" t="s">
        <v>614</v>
      </c>
      <c r="F4" s="33"/>
      <c r="G4" s="18" t="str">
        <f>VLOOKUP(Клиенты[[#This Row],[Клиент]],Контракты[Клиент],1,FALSE)</f>
        <v>Алнас</v>
      </c>
    </row>
    <row r="5" spans="1:7" x14ac:dyDescent="0.25">
      <c r="A5" s="6" t="s">
        <v>80</v>
      </c>
      <c r="B5" s="24" t="s">
        <v>43</v>
      </c>
      <c r="C5" s="7" t="s">
        <v>10</v>
      </c>
      <c r="D5" s="7" t="s">
        <v>16</v>
      </c>
      <c r="E5" s="44" t="s">
        <v>608</v>
      </c>
      <c r="F5" s="33"/>
      <c r="G5" s="18" t="str">
        <f>VLOOKUP(Клиенты[[#This Row],[Клиент]],Контракты[Клиент],1,FALSE)</f>
        <v>АрхиДекор</v>
      </c>
    </row>
    <row r="6" spans="1:7" x14ac:dyDescent="0.25">
      <c r="A6" s="6" t="s">
        <v>81</v>
      </c>
      <c r="B6" s="24" t="s">
        <v>43</v>
      </c>
      <c r="C6" s="7" t="s">
        <v>10</v>
      </c>
      <c r="D6" s="7" t="s">
        <v>16</v>
      </c>
      <c r="E6" s="24" t="s">
        <v>82</v>
      </c>
      <c r="F6" s="33"/>
      <c r="G6" s="18" t="str">
        <f>VLOOKUP(Клиенты[[#This Row],[Клиент]],Контракты[Клиент],1,FALSE)</f>
        <v>АрхиСтиль</v>
      </c>
    </row>
    <row r="7" spans="1:7" x14ac:dyDescent="0.25">
      <c r="A7" s="6" t="s">
        <v>104</v>
      </c>
      <c r="B7" s="24" t="s">
        <v>43</v>
      </c>
      <c r="C7" s="7" t="s">
        <v>10</v>
      </c>
      <c r="D7" s="7" t="s">
        <v>16</v>
      </c>
      <c r="E7" s="24" t="s">
        <v>105</v>
      </c>
      <c r="F7" s="33"/>
      <c r="G7" s="18" t="str">
        <f>VLOOKUP(Клиенты[[#This Row],[Клиент]],Контракты[Клиент],1,FALSE)</f>
        <v>БАСФ Строительные системы</v>
      </c>
    </row>
    <row r="8" spans="1:7" x14ac:dyDescent="0.25">
      <c r="A8" s="18" t="s">
        <v>333</v>
      </c>
      <c r="B8" s="32" t="s">
        <v>40</v>
      </c>
      <c r="C8" s="30" t="s">
        <v>10</v>
      </c>
      <c r="D8" s="30" t="s">
        <v>16</v>
      </c>
      <c r="E8" s="23" t="s">
        <v>652</v>
      </c>
      <c r="F8" s="33"/>
      <c r="G8" s="18" t="str">
        <f>VLOOKUP(Клиенты[[#This Row],[Клиент]],Контракты[Клиент],1,FALSE)</f>
        <v>Батолит</v>
      </c>
    </row>
    <row r="9" spans="1:7" x14ac:dyDescent="0.25">
      <c r="A9" s="6" t="s">
        <v>57</v>
      </c>
      <c r="B9" s="23" t="s">
        <v>43</v>
      </c>
      <c r="C9" s="4" t="s">
        <v>10</v>
      </c>
      <c r="D9" s="4" t="s">
        <v>16</v>
      </c>
      <c r="E9" s="24" t="s">
        <v>69</v>
      </c>
      <c r="F9" s="33"/>
      <c r="G9" s="18" t="str">
        <f>VLOOKUP(Клиенты[[#This Row],[Клиент]],Контракты[Клиент],1,FALSE)</f>
        <v>БАУТЕК</v>
      </c>
    </row>
    <row r="10" spans="1:7" x14ac:dyDescent="0.25">
      <c r="A10" s="18" t="s">
        <v>458</v>
      </c>
      <c r="B10" s="32" t="s">
        <v>41</v>
      </c>
      <c r="C10" s="30" t="s">
        <v>10</v>
      </c>
      <c r="D10" s="30" t="s">
        <v>16</v>
      </c>
      <c r="E10" s="32" t="s">
        <v>459</v>
      </c>
      <c r="F10" s="33"/>
      <c r="G10" s="18" t="str">
        <f>VLOOKUP(Клиенты[[#This Row],[Клиент]],Контракты[Клиент],1,FALSE)</f>
        <v>БелХимТрейд</v>
      </c>
    </row>
    <row r="11" spans="1:7" x14ac:dyDescent="0.25">
      <c r="A11" s="6" t="s">
        <v>106</v>
      </c>
      <c r="B11" s="24" t="s">
        <v>43</v>
      </c>
      <c r="C11" s="7" t="s">
        <v>12</v>
      </c>
      <c r="D11" s="7" t="s">
        <v>15</v>
      </c>
      <c r="E11" s="23" t="s">
        <v>107</v>
      </c>
      <c r="F11" s="33"/>
      <c r="G11" s="18" t="str">
        <f>VLOOKUP(Клиенты[[#This Row],[Клиент]],Контракты[Клиент],1,FALSE)</f>
        <v>БИРСС-Менеджмент</v>
      </c>
    </row>
    <row r="12" spans="1:7" x14ac:dyDescent="0.25">
      <c r="A12" s="18" t="s">
        <v>509</v>
      </c>
      <c r="B12" s="32" t="s">
        <v>43</v>
      </c>
      <c r="C12" s="30" t="s">
        <v>12</v>
      </c>
      <c r="D12" s="30" t="s">
        <v>15</v>
      </c>
      <c r="E12" s="32" t="s">
        <v>510</v>
      </c>
      <c r="F12" s="33"/>
      <c r="G12" s="18" t="str">
        <f>VLOOKUP(Клиенты[[#This Row],[Клиент]],Контракты[Клиент],1,FALSE)</f>
        <v>Биттекс-М</v>
      </c>
    </row>
    <row r="13" spans="1:7" x14ac:dyDescent="0.25">
      <c r="A13" s="18" t="s">
        <v>521</v>
      </c>
      <c r="B13" s="32" t="s">
        <v>44</v>
      </c>
      <c r="C13" s="30" t="s">
        <v>13</v>
      </c>
      <c r="D13" s="30" t="s">
        <v>14</v>
      </c>
      <c r="E13" s="30" t="s">
        <v>620</v>
      </c>
      <c r="F13" s="33"/>
      <c r="G13" s="18" t="str">
        <f>VLOOKUP(Клиенты[[#This Row],[Клиент]],Контракты[Клиент],1,FALSE)</f>
        <v>Бобруйский машиностроительный завод</v>
      </c>
    </row>
    <row r="14" spans="1:7" x14ac:dyDescent="0.25">
      <c r="A14" s="18" t="s">
        <v>229</v>
      </c>
      <c r="B14" s="32" t="s">
        <v>45</v>
      </c>
      <c r="C14" s="30" t="s">
        <v>10</v>
      </c>
      <c r="D14" s="30" t="s">
        <v>16</v>
      </c>
      <c r="E14" s="32" t="s">
        <v>230</v>
      </c>
      <c r="F14" s="33"/>
      <c r="G14" s="18" t="str">
        <f>VLOOKUP(Клиенты[[#This Row],[Клиент]],Контракты[Клиент],1,FALSE)</f>
        <v>БСЗ</v>
      </c>
    </row>
    <row r="15" spans="1:7" x14ac:dyDescent="0.25">
      <c r="A15" s="6" t="s">
        <v>65</v>
      </c>
      <c r="B15" s="24" t="s">
        <v>50</v>
      </c>
      <c r="C15" s="7" t="s">
        <v>12</v>
      </c>
      <c r="D15" s="7" t="s">
        <v>15</v>
      </c>
      <c r="E15" s="44" t="s">
        <v>609</v>
      </c>
      <c r="F15" s="33"/>
      <c r="G15" s="18" t="str">
        <f>VLOOKUP(Клиенты[[#This Row],[Клиент]],Контракты[Клиент],1,FALSE)</f>
        <v>Буньковский Экспериментальный завод</v>
      </c>
    </row>
    <row r="16" spans="1:7" x14ac:dyDescent="0.25">
      <c r="A16" s="90" t="s">
        <v>681</v>
      </c>
      <c r="B16" s="91" t="s">
        <v>45</v>
      </c>
      <c r="C16" s="92" t="s">
        <v>10</v>
      </c>
      <c r="D16" s="92" t="s">
        <v>16</v>
      </c>
      <c r="E16" s="91" t="s">
        <v>682</v>
      </c>
      <c r="F16" s="93"/>
      <c r="G16" s="90" t="str">
        <f>VLOOKUP(Клиенты[[#This Row],[Клиент]],Контракты[Клиент],1,FALSE)</f>
        <v>ВДВМ</v>
      </c>
    </row>
    <row r="17" spans="1:7" x14ac:dyDescent="0.25">
      <c r="A17" s="18" t="s">
        <v>456</v>
      </c>
      <c r="B17" s="32" t="s">
        <v>41</v>
      </c>
      <c r="C17" s="30" t="s">
        <v>10</v>
      </c>
      <c r="D17" s="30" t="s">
        <v>16</v>
      </c>
      <c r="E17" s="32" t="s">
        <v>457</v>
      </c>
      <c r="F17" s="33"/>
      <c r="G17" s="18" t="str">
        <f>VLOOKUP(Клиенты[[#This Row],[Клиент]],Контракты[Клиент],1,FALSE)</f>
        <v>Вега</v>
      </c>
    </row>
    <row r="18" spans="1:7" x14ac:dyDescent="0.25">
      <c r="A18" s="6" t="s">
        <v>78</v>
      </c>
      <c r="B18" s="24" t="s">
        <v>43</v>
      </c>
      <c r="C18" s="7" t="s">
        <v>12</v>
      </c>
      <c r="D18" s="7" t="s">
        <v>15</v>
      </c>
      <c r="E18" s="24" t="s">
        <v>79</v>
      </c>
      <c r="F18" s="33"/>
      <c r="G18" s="18" t="str">
        <f>VLOOKUP(Клиенты[[#This Row],[Клиент]],Контракты[Клиент],1,FALSE)</f>
        <v>ВерРус</v>
      </c>
    </row>
    <row r="19" spans="1:7" x14ac:dyDescent="0.25">
      <c r="A19" s="18" t="s">
        <v>331</v>
      </c>
      <c r="B19" s="32" t="s">
        <v>43</v>
      </c>
      <c r="C19" s="30" t="s">
        <v>10</v>
      </c>
      <c r="D19" s="30" t="s">
        <v>16</v>
      </c>
      <c r="E19" s="32" t="s">
        <v>332</v>
      </c>
      <c r="F19" s="33"/>
      <c r="G19" s="18" t="str">
        <f>VLOOKUP(Клиенты[[#This Row],[Клиент]],Контракты[Клиент],1,FALSE)</f>
        <v>Вертикаль Ремстрой</v>
      </c>
    </row>
    <row r="20" spans="1:7" x14ac:dyDescent="0.25">
      <c r="A20" s="6" t="s">
        <v>108</v>
      </c>
      <c r="B20" s="24" t="s">
        <v>42</v>
      </c>
      <c r="C20" s="7" t="s">
        <v>12</v>
      </c>
      <c r="D20" s="7" t="s">
        <v>17</v>
      </c>
      <c r="E20" s="24" t="s">
        <v>109</v>
      </c>
      <c r="F20" s="33"/>
      <c r="G20" s="18" t="str">
        <f>VLOOKUP(Клиенты[[#This Row],[Клиент]],Контракты[Клиент],1,FALSE)</f>
        <v>Витра Плитка</v>
      </c>
    </row>
    <row r="21" spans="1:7" x14ac:dyDescent="0.25">
      <c r="A21" s="6" t="s">
        <v>110</v>
      </c>
      <c r="B21" s="24" t="s">
        <v>42</v>
      </c>
      <c r="C21" s="7" t="s">
        <v>12</v>
      </c>
      <c r="D21" s="7" t="s">
        <v>15</v>
      </c>
      <c r="E21" s="44" t="s">
        <v>693</v>
      </c>
      <c r="F21" s="33"/>
      <c r="G21" s="18" t="str">
        <f>VLOOKUP(Клиенты[[#This Row],[Клиент]],Контракты[Клиент],1,FALSE)</f>
        <v>Витра Сантехника</v>
      </c>
    </row>
    <row r="22" spans="1:7" x14ac:dyDescent="0.25">
      <c r="A22" s="58" t="s">
        <v>590</v>
      </c>
      <c r="B22" s="55" t="s">
        <v>41</v>
      </c>
      <c r="C22" s="59" t="s">
        <v>10</v>
      </c>
      <c r="D22" s="59" t="s">
        <v>16</v>
      </c>
      <c r="E22" s="55" t="s">
        <v>591</v>
      </c>
      <c r="F22" s="33"/>
      <c r="G22" s="58" t="str">
        <f>VLOOKUP(Клиенты[[#This Row],[Клиент]],Контракты[Клиент],1,FALSE)</f>
        <v>ВМП</v>
      </c>
    </row>
    <row r="23" spans="1:7" x14ac:dyDescent="0.25">
      <c r="A23" s="85" t="s">
        <v>659</v>
      </c>
      <c r="B23" s="80" t="s">
        <v>42</v>
      </c>
      <c r="C23" s="86" t="s">
        <v>13</v>
      </c>
      <c r="D23" s="86" t="s">
        <v>14</v>
      </c>
      <c r="E23" s="80" t="s">
        <v>660</v>
      </c>
      <c r="F23" s="33"/>
      <c r="G23" s="85" t="str">
        <f>VLOOKUP(Клиенты[[#This Row],[Клиент]],Контракты[Клиент],1,FALSE)</f>
        <v>Волгоградский керамический завод</v>
      </c>
    </row>
    <row r="24" spans="1:7" x14ac:dyDescent="0.25">
      <c r="A24" s="18" t="s">
        <v>271</v>
      </c>
      <c r="B24" s="32" t="s">
        <v>43</v>
      </c>
      <c r="C24" s="30" t="s">
        <v>13</v>
      </c>
      <c r="D24" s="30" t="s">
        <v>14</v>
      </c>
      <c r="E24" s="32" t="s">
        <v>272</v>
      </c>
      <c r="F24" s="33"/>
      <c r="G24" s="18" t="str">
        <f>VLOOKUP(Клиенты[[#This Row],[Клиент]],Контракты[Клиент],1,FALSE)</f>
        <v>Волжский абразивный завод</v>
      </c>
    </row>
    <row r="25" spans="1:7" x14ac:dyDescent="0.25">
      <c r="A25" s="18" t="s">
        <v>286</v>
      </c>
      <c r="B25" s="32" t="s">
        <v>42</v>
      </c>
      <c r="C25" s="30" t="s">
        <v>10</v>
      </c>
      <c r="D25" s="30" t="s">
        <v>16</v>
      </c>
      <c r="E25" s="32" t="s">
        <v>287</v>
      </c>
      <c r="F25" s="33"/>
      <c r="G25" s="18" t="str">
        <f>VLOOKUP(Клиенты[[#This Row],[Клиент]],Контракты[Клиент],1,FALSE)</f>
        <v>Воронежский завод бытовой керамики</v>
      </c>
    </row>
    <row r="26" spans="1:7" x14ac:dyDescent="0.25">
      <c r="A26" s="18" t="s">
        <v>329</v>
      </c>
      <c r="B26" s="32" t="s">
        <v>45</v>
      </c>
      <c r="C26" s="30" t="s">
        <v>10</v>
      </c>
      <c r="D26" s="30" t="s">
        <v>16</v>
      </c>
      <c r="E26" s="32" t="s">
        <v>330</v>
      </c>
      <c r="F26" s="33"/>
      <c r="G26" s="18" t="str">
        <f>VLOOKUP(Клиенты[[#This Row],[Клиент]],Контракты[Клиент],1,FALSE)</f>
        <v>Воронежтрубопроводстрой</v>
      </c>
    </row>
    <row r="27" spans="1:7" x14ac:dyDescent="0.25">
      <c r="A27" s="5" t="s">
        <v>7</v>
      </c>
      <c r="B27" s="23" t="s">
        <v>41</v>
      </c>
      <c r="C27" s="4" t="s">
        <v>12</v>
      </c>
      <c r="D27" s="4" t="s">
        <v>15</v>
      </c>
      <c r="E27" s="24" t="s">
        <v>166</v>
      </c>
      <c r="F27" s="33"/>
      <c r="G27" s="18" t="str">
        <f>VLOOKUP(Клиенты[[#This Row],[Клиент]],Контракты[Клиент],1,FALSE)</f>
        <v>Гео Про Макс</v>
      </c>
    </row>
    <row r="28" spans="1:7" x14ac:dyDescent="0.25">
      <c r="A28" s="18" t="s">
        <v>334</v>
      </c>
      <c r="B28" s="32" t="s">
        <v>40</v>
      </c>
      <c r="C28" s="30" t="s">
        <v>10</v>
      </c>
      <c r="D28" s="30" t="s">
        <v>16</v>
      </c>
      <c r="E28" s="32" t="s">
        <v>335</v>
      </c>
      <c r="F28" s="33"/>
      <c r="G28" s="18" t="str">
        <f>VLOOKUP(Клиенты[[#This Row],[Клиент]],Контракты[Клиент],1,FALSE)</f>
        <v>ГеоСтиль</v>
      </c>
    </row>
    <row r="29" spans="1:7" x14ac:dyDescent="0.25">
      <c r="A29" s="85" t="s">
        <v>645</v>
      </c>
      <c r="B29" s="80" t="s">
        <v>47</v>
      </c>
      <c r="C29" s="86" t="s">
        <v>10</v>
      </c>
      <c r="D29" s="86" t="s">
        <v>16</v>
      </c>
      <c r="E29" s="80" t="s">
        <v>646</v>
      </c>
      <c r="F29" s="33"/>
      <c r="G29" s="85" t="str">
        <f>VLOOKUP(Клиенты[[#This Row],[Клиент]],Контракты[Клиент],1,FALSE)</f>
        <v>Гермес</v>
      </c>
    </row>
    <row r="30" spans="1:7" x14ac:dyDescent="0.25">
      <c r="A30" s="18" t="s">
        <v>538</v>
      </c>
      <c r="B30" s="32" t="s">
        <v>42</v>
      </c>
      <c r="C30" s="30" t="s">
        <v>13</v>
      </c>
      <c r="D30" s="30" t="s">
        <v>14</v>
      </c>
      <c r="E30" s="32" t="s">
        <v>539</v>
      </c>
      <c r="F30" s="33"/>
      <c r="G30" s="18" t="str">
        <f>VLOOKUP(Клиенты[[#This Row],[Клиент]],Контракты[Клиент],1,FALSE)</f>
        <v>Гжельский завод Электроизолятор</v>
      </c>
    </row>
    <row r="31" spans="1:7" x14ac:dyDescent="0.25">
      <c r="A31" s="6" t="s">
        <v>66</v>
      </c>
      <c r="B31" s="24" t="s">
        <v>39</v>
      </c>
      <c r="C31" s="7" t="s">
        <v>10</v>
      </c>
      <c r="D31" s="7" t="s">
        <v>16</v>
      </c>
      <c r="E31" s="24" t="s">
        <v>71</v>
      </c>
      <c r="F31" s="33"/>
      <c r="G31" s="18" t="str">
        <f>VLOOKUP(Клиенты[[#This Row],[Клиент]],Контракты[Клиент],1,FALSE)</f>
        <v>Гжельский кирпичный завод</v>
      </c>
    </row>
    <row r="32" spans="1:7" x14ac:dyDescent="0.25">
      <c r="A32" s="6" t="s">
        <v>83</v>
      </c>
      <c r="B32" s="24" t="s">
        <v>43</v>
      </c>
      <c r="C32" s="7" t="s">
        <v>10</v>
      </c>
      <c r="D32" s="7" t="s">
        <v>16</v>
      </c>
      <c r="E32" s="44" t="s">
        <v>689</v>
      </c>
      <c r="F32" s="33"/>
      <c r="G32" s="18" t="str">
        <f>VLOOKUP(Клиенты[[#This Row],[Клиент]],Контракты[Клиент],1,FALSE)</f>
        <v>ГК Дом</v>
      </c>
    </row>
    <row r="33" spans="1:7" x14ac:dyDescent="0.25">
      <c r="A33" s="6" t="s">
        <v>97</v>
      </c>
      <c r="B33" s="24" t="s">
        <v>50</v>
      </c>
      <c r="C33" s="7" t="s">
        <v>10</v>
      </c>
      <c r="D33" s="7" t="s">
        <v>16</v>
      </c>
      <c r="E33" s="24" t="s">
        <v>98</v>
      </c>
      <c r="F33" s="33"/>
      <c r="G33" s="18" t="str">
        <f>VLOOKUP(Клиенты[[#This Row],[Клиент]],Контракты[Клиент],1,FALSE)</f>
        <v>ГЛАСС ДЕКОР</v>
      </c>
    </row>
    <row r="34" spans="1:7" x14ac:dyDescent="0.25">
      <c r="A34" s="6" t="s">
        <v>55</v>
      </c>
      <c r="B34" s="24" t="s">
        <v>50</v>
      </c>
      <c r="C34" s="7" t="s">
        <v>12</v>
      </c>
      <c r="D34" s="7" t="s">
        <v>15</v>
      </c>
      <c r="E34" s="24" t="s">
        <v>68</v>
      </c>
      <c r="F34" s="33"/>
      <c r="G34" s="18" t="str">
        <f>VLOOKUP(Клиенты[[#This Row],[Клиент]],Контракты[Клиент],1,FALSE)</f>
        <v>Гласс Технолоджис</v>
      </c>
    </row>
    <row r="35" spans="1:7" x14ac:dyDescent="0.25">
      <c r="A35" s="18" t="s">
        <v>310</v>
      </c>
      <c r="B35" s="32" t="s">
        <v>39</v>
      </c>
      <c r="C35" s="30" t="s">
        <v>312</v>
      </c>
      <c r="D35" s="30" t="s">
        <v>313</v>
      </c>
      <c r="E35" s="32" t="s">
        <v>311</v>
      </c>
      <c r="F35" s="33"/>
      <c r="G35" s="18" t="str">
        <f>VLOOKUP(Клиенты[[#This Row],[Клиент]],Контракты[Клиент],1,FALSE)</f>
        <v>Голицынский керамический завод</v>
      </c>
    </row>
    <row r="36" spans="1:7" x14ac:dyDescent="0.25">
      <c r="A36" s="18" t="s">
        <v>547</v>
      </c>
      <c r="B36" s="32" t="s">
        <v>42</v>
      </c>
      <c r="C36" s="30" t="s">
        <v>13</v>
      </c>
      <c r="D36" s="30" t="s">
        <v>14</v>
      </c>
      <c r="E36" s="32" t="s">
        <v>548</v>
      </c>
      <c r="F36" s="33"/>
      <c r="G36" s="18" t="str">
        <f>VLOOKUP(Клиенты[[#This Row],[Клиент]],Контракты[Клиент],1,FALSE)</f>
        <v>Гончар-КА</v>
      </c>
    </row>
    <row r="37" spans="1:7" x14ac:dyDescent="0.25">
      <c r="A37" s="18" t="s">
        <v>493</v>
      </c>
      <c r="B37" s="32" t="s">
        <v>44</v>
      </c>
      <c r="C37" s="30" t="s">
        <v>12</v>
      </c>
      <c r="D37" s="30" t="s">
        <v>15</v>
      </c>
      <c r="E37" s="32" t="s">
        <v>494</v>
      </c>
      <c r="F37" s="33"/>
      <c r="G37" s="18" t="str">
        <f>VLOOKUP(Клиенты[[#This Row],[Клиент]],Контракты[Клиент],1,FALSE)</f>
        <v>ГранМикс</v>
      </c>
    </row>
    <row r="38" spans="1:7" x14ac:dyDescent="0.25">
      <c r="A38" s="18" t="s">
        <v>314</v>
      </c>
      <c r="B38" s="32" t="s">
        <v>39</v>
      </c>
      <c r="C38" s="30" t="s">
        <v>13</v>
      </c>
      <c r="D38" s="30" t="s">
        <v>14</v>
      </c>
      <c r="E38" s="32" t="s">
        <v>315</v>
      </c>
      <c r="F38" s="33"/>
      <c r="G38" s="18" t="str">
        <f>VLOOKUP(Клиенты[[#This Row],[Клиент]],Контракты[Клиент],1,FALSE)</f>
        <v>Губский кирпичный завод</v>
      </c>
    </row>
    <row r="39" spans="1:7" x14ac:dyDescent="0.25">
      <c r="A39" s="6" t="s">
        <v>111</v>
      </c>
      <c r="B39" s="24" t="s">
        <v>43</v>
      </c>
      <c r="C39" s="7" t="s">
        <v>12</v>
      </c>
      <c r="D39" s="7" t="s">
        <v>15</v>
      </c>
      <c r="E39" s="24" t="s">
        <v>196</v>
      </c>
      <c r="F39" s="33"/>
      <c r="G39" s="18" t="str">
        <f>VLOOKUP(Клиенты[[#This Row],[Клиент]],Контракты[Клиент],1,FALSE)</f>
        <v>ДАВ-Малино</v>
      </c>
    </row>
    <row r="40" spans="1:7" x14ac:dyDescent="0.25">
      <c r="A40" s="6" t="s">
        <v>678</v>
      </c>
      <c r="B40" s="24" t="s">
        <v>41</v>
      </c>
      <c r="C40" s="7" t="s">
        <v>12</v>
      </c>
      <c r="D40" s="7" t="s">
        <v>15</v>
      </c>
      <c r="E40" s="24" t="s">
        <v>160</v>
      </c>
      <c r="F40" s="33"/>
      <c r="G40" s="18" t="str">
        <f>VLOOKUP(Клиенты[[#This Row],[Клиент]],Контракты[Клиент],1,FALSE)</f>
        <v>ДАЙМИО</v>
      </c>
    </row>
    <row r="41" spans="1:7" x14ac:dyDescent="0.25">
      <c r="A41" s="6" t="s">
        <v>84</v>
      </c>
      <c r="B41" s="24" t="s">
        <v>43</v>
      </c>
      <c r="C41" s="7" t="s">
        <v>10</v>
      </c>
      <c r="D41" s="7" t="s">
        <v>16</v>
      </c>
      <c r="E41" s="24" t="s">
        <v>85</v>
      </c>
      <c r="F41" s="33"/>
      <c r="G41" s="18" t="str">
        <f>VLOOKUP(Клиенты[[#This Row],[Клиент]],Контракты[Клиент],1,FALSE)</f>
        <v>ДАРстрой</v>
      </c>
    </row>
    <row r="42" spans="1:7" x14ac:dyDescent="0.25">
      <c r="A42" s="6" t="s">
        <v>112</v>
      </c>
      <c r="B42" s="24" t="s">
        <v>43</v>
      </c>
      <c r="C42" s="7" t="s">
        <v>10</v>
      </c>
      <c r="D42" s="7" t="s">
        <v>16</v>
      </c>
      <c r="E42" s="24" t="s">
        <v>113</v>
      </c>
      <c r="F42" s="33"/>
      <c r="G42" s="18" t="str">
        <f>VLOOKUP(Клиенты[[#This Row],[Клиент]],Контракты[Клиент],1,FALSE)</f>
        <v>Дауер</v>
      </c>
    </row>
    <row r="43" spans="1:7" x14ac:dyDescent="0.25">
      <c r="A43" s="18" t="s">
        <v>336</v>
      </c>
      <c r="B43" s="32" t="s">
        <v>41</v>
      </c>
      <c r="C43" s="30" t="s">
        <v>10</v>
      </c>
      <c r="D43" s="30" t="s">
        <v>16</v>
      </c>
      <c r="E43" s="32" t="s">
        <v>337</v>
      </c>
      <c r="F43" s="33"/>
      <c r="G43" s="18" t="str">
        <f>VLOOKUP(Клиенты[[#This Row],[Клиент]],Контракты[Клиент],1,FALSE)</f>
        <v>Декор НПК</v>
      </c>
    </row>
    <row r="44" spans="1:7" x14ac:dyDescent="0.25">
      <c r="A44" s="58" t="s">
        <v>602</v>
      </c>
      <c r="B44" s="55" t="s">
        <v>45</v>
      </c>
      <c r="C44" s="59" t="s">
        <v>10</v>
      </c>
      <c r="D44" s="59" t="s">
        <v>16</v>
      </c>
      <c r="E44" s="55" t="s">
        <v>603</v>
      </c>
      <c r="F44" s="33">
        <v>1</v>
      </c>
      <c r="G44" s="58" t="str">
        <f>VLOOKUP(Клиенты[[#This Row],[Клиент]],Контракты[Клиент],1,FALSE)</f>
        <v>ДЕЛЬТАХИМ</v>
      </c>
    </row>
    <row r="45" spans="1:7" x14ac:dyDescent="0.25">
      <c r="A45" s="85" t="s">
        <v>657</v>
      </c>
      <c r="B45" s="80" t="s">
        <v>41</v>
      </c>
      <c r="C45" s="86" t="s">
        <v>10</v>
      </c>
      <c r="D45" s="86" t="s">
        <v>16</v>
      </c>
      <c r="E45" s="80" t="s">
        <v>658</v>
      </c>
      <c r="F45" s="33"/>
      <c r="G45" s="85" t="str">
        <f>VLOOKUP(Клиенты[[#This Row],[Клиент]],Контракты[Клиент],1,FALSE)</f>
        <v>Диалар</v>
      </c>
    </row>
    <row r="46" spans="1:7" x14ac:dyDescent="0.25">
      <c r="A46" s="5" t="s">
        <v>549</v>
      </c>
      <c r="B46" s="32" t="s">
        <v>42</v>
      </c>
      <c r="C46" s="30" t="s">
        <v>13</v>
      </c>
      <c r="D46" s="30" t="s">
        <v>14</v>
      </c>
      <c r="E46" s="32" t="s">
        <v>550</v>
      </c>
      <c r="F46" s="33"/>
      <c r="G46" s="18" t="str">
        <f>VLOOKUP(Клиенты[[#This Row],[Клиент]],Контракты[Клиент],1,FALSE)</f>
        <v>Евро-Керамика</v>
      </c>
    </row>
    <row r="47" spans="1:7" x14ac:dyDescent="0.25">
      <c r="A47" s="6" t="s">
        <v>114</v>
      </c>
      <c r="B47" s="24" t="s">
        <v>43</v>
      </c>
      <c r="C47" s="7" t="s">
        <v>12</v>
      </c>
      <c r="D47" s="7" t="s">
        <v>15</v>
      </c>
      <c r="E47" s="24" t="s">
        <v>115</v>
      </c>
      <c r="F47" s="33"/>
      <c r="G47" s="18" t="str">
        <f>VLOOKUP(Клиенты[[#This Row],[Клиент]],Контракты[Клиент],1,FALSE)</f>
        <v>ЕК Кемикал</v>
      </c>
    </row>
    <row r="48" spans="1:7" x14ac:dyDescent="0.25">
      <c r="A48" s="18" t="s">
        <v>302</v>
      </c>
      <c r="B48" s="32" t="s">
        <v>39</v>
      </c>
      <c r="C48" s="30" t="s">
        <v>13</v>
      </c>
      <c r="D48" s="30" t="s">
        <v>14</v>
      </c>
      <c r="E48" s="32" t="s">
        <v>303</v>
      </c>
      <c r="F48" s="33"/>
      <c r="G48" s="18" t="str">
        <f>VLOOKUP(Клиенты[[#This Row],[Клиент]],Контракты[Клиент],1,FALSE)</f>
        <v>Завод керамического кирпича</v>
      </c>
    </row>
    <row r="49" spans="1:7" x14ac:dyDescent="0.25">
      <c r="A49" s="121" t="s">
        <v>697</v>
      </c>
      <c r="B49" s="115" t="s">
        <v>38</v>
      </c>
      <c r="C49" s="122" t="s">
        <v>10</v>
      </c>
      <c r="D49" s="122" t="s">
        <v>16</v>
      </c>
      <c r="E49" s="115" t="s">
        <v>698</v>
      </c>
      <c r="F49" s="123"/>
      <c r="G49" s="121" t="str">
        <f>VLOOKUP(Клиенты[[#This Row],[Клиент]],Контракты[Клиент],1,FALSE)</f>
        <v>Завод керамических изделий</v>
      </c>
    </row>
    <row r="50" spans="1:7" x14ac:dyDescent="0.25">
      <c r="A50" s="6" t="s">
        <v>116</v>
      </c>
      <c r="B50" s="24" t="s">
        <v>50</v>
      </c>
      <c r="C50" s="7" t="s">
        <v>12</v>
      </c>
      <c r="D50" s="7" t="s">
        <v>15</v>
      </c>
      <c r="E50" s="24" t="s">
        <v>117</v>
      </c>
      <c r="F50" s="33"/>
      <c r="G50" s="18" t="str">
        <f>VLOOKUP(Клиенты[[#This Row],[Клиент]],Контракты[Клиент],1,FALSE)</f>
        <v>Завод Стекловолокна</v>
      </c>
    </row>
    <row r="51" spans="1:7" x14ac:dyDescent="0.25">
      <c r="A51" s="58" t="s">
        <v>600</v>
      </c>
      <c r="B51" s="55" t="s">
        <v>45</v>
      </c>
      <c r="C51" s="59" t="s">
        <v>10</v>
      </c>
      <c r="D51" s="59" t="s">
        <v>16</v>
      </c>
      <c r="E51" s="55" t="s">
        <v>601</v>
      </c>
      <c r="F51" s="33"/>
      <c r="G51" s="58" t="str">
        <f>VLOOKUP(Клиенты[[#This Row],[Клиент]],Контракты[Клиент],1,FALSE)</f>
        <v>ЗаводТехнологическойХимии</v>
      </c>
    </row>
    <row r="52" spans="1:7" x14ac:dyDescent="0.25">
      <c r="A52" s="5" t="s">
        <v>3</v>
      </c>
      <c r="B52" s="23" t="s">
        <v>41</v>
      </c>
      <c r="C52" s="4" t="s">
        <v>12</v>
      </c>
      <c r="D52" s="4" t="s">
        <v>15</v>
      </c>
      <c r="E52" s="24" t="s">
        <v>119</v>
      </c>
      <c r="F52" s="33"/>
      <c r="G52" s="18" t="str">
        <f>VLOOKUP(Клиенты[[#This Row],[Клиент]],Контракты[Клиент],1,FALSE)</f>
        <v>ЗИК</v>
      </c>
    </row>
    <row r="53" spans="1:7" x14ac:dyDescent="0.25">
      <c r="A53" s="18" t="s">
        <v>555</v>
      </c>
      <c r="B53" s="32" t="s">
        <v>42</v>
      </c>
      <c r="C53" s="30" t="s">
        <v>13</v>
      </c>
      <c r="D53" s="30" t="s">
        <v>14</v>
      </c>
      <c r="E53" s="32" t="s">
        <v>556</v>
      </c>
      <c r="F53" s="33"/>
      <c r="G53" s="18" t="str">
        <f>VLOOKUP(Клиенты[[#This Row],[Клиент]],Контракты[Клиент],1,FALSE)</f>
        <v>ЗКС</v>
      </c>
    </row>
    <row r="54" spans="1:7" x14ac:dyDescent="0.25">
      <c r="A54" s="6" t="s">
        <v>165</v>
      </c>
      <c r="B54" s="24" t="s">
        <v>43</v>
      </c>
      <c r="C54" s="7" t="s">
        <v>12</v>
      </c>
      <c r="D54" s="7" t="s">
        <v>15</v>
      </c>
      <c r="E54" s="24" t="s">
        <v>120</v>
      </c>
      <c r="F54" s="33"/>
      <c r="G54" s="18" t="str">
        <f>VLOOKUP(Клиенты[[#This Row],[Клиент]],Контракты[Клиент],1,FALSE)</f>
        <v>Индустриальный парк Внуково-3</v>
      </c>
    </row>
    <row r="55" spans="1:7" x14ac:dyDescent="0.25">
      <c r="A55" s="6" t="s">
        <v>121</v>
      </c>
      <c r="B55" s="24" t="s">
        <v>43</v>
      </c>
      <c r="C55" s="7" t="s">
        <v>12</v>
      </c>
      <c r="D55" s="7" t="s">
        <v>15</v>
      </c>
      <c r="E55" s="24" t="s">
        <v>122</v>
      </c>
      <c r="F55" s="33"/>
      <c r="G55" s="18" t="str">
        <f>VLOOKUP(Клиенты[[#This Row],[Клиент]],Контракты[Клиент],1,FALSE)</f>
        <v>ИнТеСМа</v>
      </c>
    </row>
    <row r="56" spans="1:7" x14ac:dyDescent="0.25">
      <c r="A56" s="58" t="s">
        <v>580</v>
      </c>
      <c r="B56" s="55" t="s">
        <v>44</v>
      </c>
      <c r="C56" s="59" t="s">
        <v>12</v>
      </c>
      <c r="D56" s="59" t="s">
        <v>529</v>
      </c>
      <c r="E56" s="55" t="s">
        <v>581</v>
      </c>
      <c r="F56" s="33"/>
      <c r="G56" s="58" t="str">
        <f>VLOOKUP(Клиенты[[#This Row],[Клиент]],Контракты[Клиент],1,FALSE)</f>
        <v>Интокаст Рус</v>
      </c>
    </row>
    <row r="57" spans="1:7" x14ac:dyDescent="0.25">
      <c r="A57" s="18" t="s">
        <v>477</v>
      </c>
      <c r="B57" s="32" t="s">
        <v>41</v>
      </c>
      <c r="C57" s="30" t="s">
        <v>10</v>
      </c>
      <c r="D57" s="30" t="s">
        <v>16</v>
      </c>
      <c r="E57" s="32" t="s">
        <v>478</v>
      </c>
      <c r="F57" s="33"/>
      <c r="G57" s="18" t="str">
        <f>VLOOKUP(Клиенты[[#This Row],[Клиент]],Контракты[Клиент],1,FALSE)</f>
        <v>ИП Гусаров Виталий Валерьевич</v>
      </c>
    </row>
    <row r="58" spans="1:7" x14ac:dyDescent="0.25">
      <c r="A58" s="18" t="s">
        <v>498</v>
      </c>
      <c r="B58" s="32" t="s">
        <v>40</v>
      </c>
      <c r="C58" s="30" t="s">
        <v>10</v>
      </c>
      <c r="D58" s="30" t="s">
        <v>16</v>
      </c>
      <c r="E58" s="32" t="s">
        <v>499</v>
      </c>
      <c r="F58" s="33"/>
      <c r="G58" s="18" t="str">
        <f>VLOOKUP(Клиенты[[#This Row],[Клиент]],Контракты[Клиент],1,FALSE)</f>
        <v>ИП Межуев Александр Васильевич</v>
      </c>
    </row>
    <row r="59" spans="1:7" x14ac:dyDescent="0.25">
      <c r="A59" s="85" t="s">
        <v>649</v>
      </c>
      <c r="B59" s="80" t="s">
        <v>44</v>
      </c>
      <c r="C59" s="86" t="s">
        <v>10</v>
      </c>
      <c r="D59" s="86" t="s">
        <v>16</v>
      </c>
      <c r="E59" s="80" t="s">
        <v>650</v>
      </c>
      <c r="F59" s="33"/>
      <c r="G59" s="85" t="str">
        <f>VLOOKUP(Клиенты[[#This Row],[Клиент]],Контракты[Клиент],1,FALSE)</f>
        <v>ИП Устенко</v>
      </c>
    </row>
    <row r="60" spans="1:7" x14ac:dyDescent="0.25">
      <c r="A60" s="6" t="s">
        <v>123</v>
      </c>
      <c r="B60" s="24" t="s">
        <v>44</v>
      </c>
      <c r="C60" s="4" t="s">
        <v>10</v>
      </c>
      <c r="D60" s="4" t="s">
        <v>16</v>
      </c>
      <c r="E60" s="24" t="s">
        <v>124</v>
      </c>
      <c r="F60" s="33"/>
      <c r="G60" s="18" t="str">
        <f>VLOOKUP(Клиенты[[#This Row],[Клиент]],Контракты[Клиент],1,FALSE)</f>
        <v>Каширский литейный завод Центролит</v>
      </c>
    </row>
    <row r="61" spans="1:7" x14ac:dyDescent="0.25">
      <c r="A61" s="71" t="s">
        <v>639</v>
      </c>
      <c r="B61" s="69" t="s">
        <v>38</v>
      </c>
      <c r="C61" s="72" t="s">
        <v>12</v>
      </c>
      <c r="D61" s="72" t="s">
        <v>529</v>
      </c>
      <c r="E61" s="69" t="s">
        <v>640</v>
      </c>
      <c r="F61" s="33"/>
      <c r="G61" s="71" t="str">
        <f>VLOOKUP(Клиенты[[#This Row],[Клиент]],Контракты[Клиент],1,FALSE)</f>
        <v>Кварцверке ТД</v>
      </c>
    </row>
    <row r="62" spans="1:7" x14ac:dyDescent="0.25">
      <c r="A62" s="6" t="s">
        <v>62</v>
      </c>
      <c r="B62" s="24" t="s">
        <v>43</v>
      </c>
      <c r="C62" s="7" t="s">
        <v>12</v>
      </c>
      <c r="D62" s="7" t="s">
        <v>15</v>
      </c>
      <c r="E62" s="24" t="s">
        <v>70</v>
      </c>
      <c r="F62" s="33"/>
      <c r="G62" s="18" t="str">
        <f>VLOOKUP(Клиенты[[#This Row],[Клиент]],Контракты[Клиент],1,FALSE)</f>
        <v>Квик-микс</v>
      </c>
    </row>
    <row r="63" spans="1:7" x14ac:dyDescent="0.25">
      <c r="A63" s="58" t="s">
        <v>583</v>
      </c>
      <c r="B63" s="55" t="s">
        <v>44</v>
      </c>
      <c r="C63" s="59" t="s">
        <v>12</v>
      </c>
      <c r="D63" s="59" t="s">
        <v>345</v>
      </c>
      <c r="E63" s="55" t="s">
        <v>584</v>
      </c>
      <c r="F63" s="33"/>
      <c r="G63" s="58" t="str">
        <f>VLOOKUP(Клиенты[[#This Row],[Клиент]],Контракты[Клиент],1,FALSE)</f>
        <v>Кералит</v>
      </c>
    </row>
    <row r="64" spans="1:7" x14ac:dyDescent="0.25">
      <c r="A64" s="6" t="s">
        <v>125</v>
      </c>
      <c r="B64" s="24" t="s">
        <v>42</v>
      </c>
      <c r="C64" s="4" t="s">
        <v>10</v>
      </c>
      <c r="D64" s="4" t="s">
        <v>16</v>
      </c>
      <c r="E64" s="24" t="s">
        <v>126</v>
      </c>
      <c r="F64" s="33"/>
      <c r="G64" s="18" t="str">
        <f>VLOOKUP(Клиенты[[#This Row],[Клиент]],Контракты[Клиент],1,FALSE)</f>
        <v>Керама Марацци</v>
      </c>
    </row>
    <row r="65" spans="1:7" x14ac:dyDescent="0.25">
      <c r="A65" s="18" t="s">
        <v>524</v>
      </c>
      <c r="B65" s="32" t="s">
        <v>42</v>
      </c>
      <c r="C65" s="30" t="s">
        <v>10</v>
      </c>
      <c r="D65" s="30" t="s">
        <v>16</v>
      </c>
      <c r="E65" s="32" t="s">
        <v>525</v>
      </c>
      <c r="F65" s="33"/>
      <c r="G65" s="18" t="str">
        <f>VLOOKUP(Клиенты[[#This Row],[Клиент]],Контракты[Клиент],1,FALSE)</f>
        <v>КЕРАМИКА</v>
      </c>
    </row>
    <row r="66" spans="1:7" x14ac:dyDescent="0.25">
      <c r="A66" s="71" t="s">
        <v>635</v>
      </c>
      <c r="B66" s="69" t="s">
        <v>42</v>
      </c>
      <c r="C66" s="72" t="s">
        <v>10</v>
      </c>
      <c r="D66" s="72" t="s">
        <v>16</v>
      </c>
      <c r="E66" s="69" t="s">
        <v>636</v>
      </c>
      <c r="F66" s="33"/>
      <c r="G66" s="71" t="str">
        <f>VLOOKUP(Клиенты[[#This Row],[Клиент]],Контракты[Клиент],1,FALSE)</f>
        <v>Керамика Гжели</v>
      </c>
    </row>
    <row r="67" spans="1:7" x14ac:dyDescent="0.25">
      <c r="A67" s="71" t="s">
        <v>630</v>
      </c>
      <c r="B67" s="69" t="s">
        <v>38</v>
      </c>
      <c r="C67" s="72" t="s">
        <v>10</v>
      </c>
      <c r="D67" s="72" t="s">
        <v>16</v>
      </c>
      <c r="E67" s="69" t="s">
        <v>631</v>
      </c>
      <c r="F67" s="33"/>
      <c r="G67" s="71" t="str">
        <f>VLOOKUP(Клиенты[[#This Row],[Клиент]],Контракты[Клиент],1,FALSE)</f>
        <v>КераминСП</v>
      </c>
    </row>
    <row r="68" spans="1:7" x14ac:dyDescent="0.25">
      <c r="A68" s="6" t="s">
        <v>63</v>
      </c>
      <c r="B68" s="24" t="s">
        <v>42</v>
      </c>
      <c r="C68" s="7" t="s">
        <v>12</v>
      </c>
      <c r="D68" s="7" t="s">
        <v>15</v>
      </c>
      <c r="E68" s="24" t="s">
        <v>197</v>
      </c>
      <c r="F68" s="33"/>
      <c r="G68" s="18" t="str">
        <f>VLOOKUP(Клиенты[[#This Row],[Клиент]],Контракты[Клиент],1,FALSE)</f>
        <v>Керамогранитный завод</v>
      </c>
    </row>
    <row r="69" spans="1:7" x14ac:dyDescent="0.25">
      <c r="A69" s="58" t="s">
        <v>604</v>
      </c>
      <c r="B69" s="55" t="s">
        <v>45</v>
      </c>
      <c r="C69" s="59" t="s">
        <v>10</v>
      </c>
      <c r="D69" s="59" t="s">
        <v>16</v>
      </c>
      <c r="E69" s="55" t="s">
        <v>605</v>
      </c>
      <c r="F69" s="33"/>
      <c r="G69" s="58" t="str">
        <f>VLOOKUP(Клиенты[[#This Row],[Клиент]],Контракты[Клиент],1,FALSE)</f>
        <v>Керафлекс-Центр</v>
      </c>
    </row>
    <row r="70" spans="1:7" x14ac:dyDescent="0.25">
      <c r="A70" s="18" t="s">
        <v>296</v>
      </c>
      <c r="B70" s="32" t="s">
        <v>42</v>
      </c>
      <c r="C70" s="30" t="s">
        <v>13</v>
      </c>
      <c r="D70" s="30" t="s">
        <v>14</v>
      </c>
      <c r="E70" s="32" t="s">
        <v>297</v>
      </c>
      <c r="F70" s="33"/>
      <c r="G70" s="18" t="str">
        <f>VLOOKUP(Клиенты[[#This Row],[Клиент]],Контракты[Клиент],1,FALSE)</f>
        <v>Кировская керамика</v>
      </c>
    </row>
    <row r="71" spans="1:7" x14ac:dyDescent="0.25">
      <c r="A71" s="18" t="s">
        <v>528</v>
      </c>
      <c r="B71" s="32" t="s">
        <v>39</v>
      </c>
      <c r="C71" s="30" t="s">
        <v>12</v>
      </c>
      <c r="D71" s="30" t="s">
        <v>529</v>
      </c>
      <c r="E71" s="32" t="s">
        <v>530</v>
      </c>
      <c r="F71" s="33"/>
      <c r="G71" s="18" t="str">
        <f>VLOOKUP(Клиенты[[#This Row],[Клиент]],Контракты[Клиент],1,FALSE)</f>
        <v>КЛЮКЕР</v>
      </c>
    </row>
    <row r="72" spans="1:7" x14ac:dyDescent="0.25">
      <c r="A72" s="6" t="s">
        <v>127</v>
      </c>
      <c r="B72" s="24" t="s">
        <v>43</v>
      </c>
      <c r="C72" s="4" t="s">
        <v>10</v>
      </c>
      <c r="D72" s="4" t="s">
        <v>16</v>
      </c>
      <c r="E72" s="24" t="s">
        <v>128</v>
      </c>
      <c r="F72" s="33"/>
      <c r="G72" s="18" t="str">
        <f>VLOOKUP(Клиенты[[#This Row],[Клиент]],Контракты[Клиент],1,FALSE)</f>
        <v>Кнауф Гипс</v>
      </c>
    </row>
    <row r="73" spans="1:7" x14ac:dyDescent="0.25">
      <c r="A73" s="6" t="s">
        <v>129</v>
      </c>
      <c r="B73" s="24" t="s">
        <v>43</v>
      </c>
      <c r="C73" s="7" t="s">
        <v>12</v>
      </c>
      <c r="D73" s="7" t="s">
        <v>15</v>
      </c>
      <c r="E73" s="24" t="s">
        <v>198</v>
      </c>
      <c r="F73" s="33"/>
      <c r="G73" s="18" t="str">
        <f>VLOOKUP(Клиенты[[#This Row],[Клиент]],Контракты[Клиент],1,FALSE)</f>
        <v>Кнауф Инсулейшн</v>
      </c>
    </row>
    <row r="74" spans="1:7" x14ac:dyDescent="0.25">
      <c r="A74" s="85" t="s">
        <v>647</v>
      </c>
      <c r="B74" s="80" t="s">
        <v>42</v>
      </c>
      <c r="C74" s="86" t="s">
        <v>13</v>
      </c>
      <c r="D74" s="86" t="s">
        <v>14</v>
      </c>
      <c r="E74" s="80" t="s">
        <v>648</v>
      </c>
      <c r="F74" s="33"/>
      <c r="G74" s="85" t="str">
        <f>VLOOKUP(Клиенты[[#This Row],[Клиент]],Контракты[Клиент],1,FALSE)</f>
        <v>Компания Пиастрелла</v>
      </c>
    </row>
    <row r="75" spans="1:7" x14ac:dyDescent="0.25">
      <c r="A75" s="6" t="s">
        <v>130</v>
      </c>
      <c r="B75" s="24" t="s">
        <v>50</v>
      </c>
      <c r="C75" s="7" t="s">
        <v>13</v>
      </c>
      <c r="D75" s="7" t="s">
        <v>14</v>
      </c>
      <c r="E75" s="24" t="s">
        <v>131</v>
      </c>
      <c r="F75" s="33"/>
      <c r="G75" s="18" t="str">
        <f>VLOOKUP(Клиенты[[#This Row],[Клиент]],Контракты[Клиент],1,FALSE)</f>
        <v>Компас</v>
      </c>
    </row>
    <row r="76" spans="1:7" x14ac:dyDescent="0.25">
      <c r="A76" s="18" t="s">
        <v>536</v>
      </c>
      <c r="B76" s="32" t="s">
        <v>42</v>
      </c>
      <c r="C76" s="30" t="s">
        <v>13</v>
      </c>
      <c r="D76" s="30" t="s">
        <v>14</v>
      </c>
      <c r="E76" s="32" t="s">
        <v>537</v>
      </c>
      <c r="F76" s="33"/>
      <c r="G76" s="18" t="str">
        <f>VLOOKUP(Клиенты[[#This Row],[Клиент]],Контракты[Клиент],1,FALSE)</f>
        <v>Комплект</v>
      </c>
    </row>
    <row r="77" spans="1:7" x14ac:dyDescent="0.25">
      <c r="A77" s="18" t="s">
        <v>460</v>
      </c>
      <c r="B77" s="32" t="s">
        <v>41</v>
      </c>
      <c r="C77" s="30" t="s">
        <v>10</v>
      </c>
      <c r="D77" s="30" t="s">
        <v>16</v>
      </c>
      <c r="E77" s="32" t="s">
        <v>461</v>
      </c>
      <c r="F77" s="33"/>
      <c r="G77" s="18" t="str">
        <f>VLOOKUP(Клиенты[[#This Row],[Клиент]],Контракты[Клиент],1,FALSE)</f>
        <v>Конкорд</v>
      </c>
    </row>
    <row r="78" spans="1:7" x14ac:dyDescent="0.25">
      <c r="A78" s="6" t="s">
        <v>132</v>
      </c>
      <c r="B78" s="24" t="s">
        <v>43</v>
      </c>
      <c r="C78" s="7" t="s">
        <v>12</v>
      </c>
      <c r="D78" s="7" t="s">
        <v>15</v>
      </c>
      <c r="E78" s="24" t="s">
        <v>133</v>
      </c>
      <c r="F78" s="33"/>
      <c r="G78" s="18" t="str">
        <f>VLOOKUP(Клиенты[[#This Row],[Клиент]],Контракты[Клиент],1,FALSE)</f>
        <v>Консолит</v>
      </c>
    </row>
    <row r="79" spans="1:7" x14ac:dyDescent="0.25">
      <c r="A79" s="6" t="s">
        <v>86</v>
      </c>
      <c r="B79" s="24" t="s">
        <v>50</v>
      </c>
      <c r="C79" s="7" t="s">
        <v>10</v>
      </c>
      <c r="D79" s="7" t="s">
        <v>16</v>
      </c>
      <c r="E79" s="24" t="s">
        <v>87</v>
      </c>
      <c r="F79" s="33"/>
      <c r="G79" s="18" t="str">
        <f>VLOOKUP(Клиенты[[#This Row],[Клиент]],Контракты[Клиент],1,FALSE)</f>
        <v>Константа</v>
      </c>
    </row>
    <row r="80" spans="1:7" x14ac:dyDescent="0.25">
      <c r="A80" s="5" t="s">
        <v>4</v>
      </c>
      <c r="B80" s="23" t="s">
        <v>43</v>
      </c>
      <c r="C80" s="4" t="s">
        <v>10</v>
      </c>
      <c r="D80" s="4" t="s">
        <v>16</v>
      </c>
      <c r="E80" s="24" t="s">
        <v>134</v>
      </c>
      <c r="F80" s="33"/>
      <c r="G80" s="18" t="str">
        <f>VLOOKUP(Клиенты[[#This Row],[Клиент]],Контракты[Клиент],1,FALSE)</f>
        <v>Корпорация КРЕПС</v>
      </c>
    </row>
    <row r="81" spans="1:7" x14ac:dyDescent="0.25">
      <c r="A81" s="6" t="s">
        <v>135</v>
      </c>
      <c r="B81" s="24" t="s">
        <v>43</v>
      </c>
      <c r="C81" s="4" t="s">
        <v>10</v>
      </c>
      <c r="D81" s="4" t="s">
        <v>16</v>
      </c>
      <c r="E81" s="24" t="s">
        <v>136</v>
      </c>
      <c r="F81" s="33"/>
      <c r="G81" s="18" t="str">
        <f>VLOOKUP(Клиенты[[#This Row],[Клиент]],Контракты[Клиент],1,FALSE)</f>
        <v>Крайзель Рус</v>
      </c>
    </row>
    <row r="82" spans="1:7" x14ac:dyDescent="0.25">
      <c r="A82" s="6" t="s">
        <v>88</v>
      </c>
      <c r="B82" s="24" t="s">
        <v>50</v>
      </c>
      <c r="C82" s="7" t="s">
        <v>12</v>
      </c>
      <c r="D82" s="7" t="s">
        <v>18</v>
      </c>
      <c r="E82" s="44" t="s">
        <v>619</v>
      </c>
      <c r="F82" s="33"/>
      <c r="G82" s="18" t="str">
        <f>VLOOKUP(Клиенты[[#This Row],[Клиент]],Контракты[Клиент],1,FALSE)</f>
        <v>Красное Эхо</v>
      </c>
    </row>
    <row r="83" spans="1:7" x14ac:dyDescent="0.25">
      <c r="A83" s="6" t="s">
        <v>90</v>
      </c>
      <c r="B83" s="24" t="s">
        <v>43</v>
      </c>
      <c r="C83" s="7" t="s">
        <v>12</v>
      </c>
      <c r="D83" s="7" t="s">
        <v>15</v>
      </c>
      <c r="E83" s="24" t="s">
        <v>91</v>
      </c>
      <c r="F83" s="33"/>
      <c r="G83" s="18" t="str">
        <f>VLOOKUP(Клиенты[[#This Row],[Клиент]],Контракты[Клиент],1,FALSE)</f>
        <v>Крацер</v>
      </c>
    </row>
    <row r="84" spans="1:7" x14ac:dyDescent="0.25">
      <c r="A84" s="85" t="s">
        <v>653</v>
      </c>
      <c r="B84" s="80" t="s">
        <v>41</v>
      </c>
      <c r="C84" s="86" t="s">
        <v>10</v>
      </c>
      <c r="D84" s="86" t="s">
        <v>16</v>
      </c>
      <c r="E84" s="44" t="s">
        <v>654</v>
      </c>
      <c r="F84" s="33"/>
      <c r="G84" s="85" t="str">
        <f>VLOOKUP(Клиенты[[#This Row],[Клиент]],Контракты[Клиент],1,FALSE)</f>
        <v>Кронос-спб</v>
      </c>
    </row>
    <row r="85" spans="1:7" x14ac:dyDescent="0.25">
      <c r="A85" s="6" t="s">
        <v>102</v>
      </c>
      <c r="B85" s="24" t="s">
        <v>43</v>
      </c>
      <c r="C85" s="7" t="s">
        <v>10</v>
      </c>
      <c r="D85" s="7" t="s">
        <v>16</v>
      </c>
      <c r="E85" s="24" t="s">
        <v>103</v>
      </c>
      <c r="F85" s="33"/>
      <c r="G85" s="18" t="str">
        <f>VLOOKUP(Клиенты[[#This Row],[Клиент]],Контракты[Клиент],1,FALSE)</f>
        <v>КСМстрой</v>
      </c>
    </row>
    <row r="86" spans="1:7" x14ac:dyDescent="0.25">
      <c r="A86" s="18" t="s">
        <v>502</v>
      </c>
      <c r="B86" s="32" t="s">
        <v>42</v>
      </c>
      <c r="C86" s="30" t="s">
        <v>10</v>
      </c>
      <c r="D86" s="30" t="s">
        <v>16</v>
      </c>
      <c r="E86" s="23" t="s">
        <v>610</v>
      </c>
      <c r="F86" s="33"/>
      <c r="G86" s="18" t="str">
        <f>VLOOKUP(Клиенты[[#This Row],[Клиент]],Контракты[Клиент],1,FALSE)</f>
        <v>Кучинский Керамический Завод-1</v>
      </c>
    </row>
    <row r="87" spans="1:7" x14ac:dyDescent="0.25">
      <c r="A87" s="18" t="s">
        <v>469</v>
      </c>
      <c r="B87" s="32" t="s">
        <v>38</v>
      </c>
      <c r="C87" s="30" t="s">
        <v>10</v>
      </c>
      <c r="D87" s="30" t="s">
        <v>16</v>
      </c>
      <c r="E87" s="32" t="s">
        <v>470</v>
      </c>
      <c r="F87" s="33"/>
      <c r="G87" s="18" t="str">
        <f>VLOOKUP(Клиенты[[#This Row],[Клиент]],Контракты[Клиент],1,FALSE)</f>
        <v>Ласселсбергер</v>
      </c>
    </row>
    <row r="88" spans="1:7" x14ac:dyDescent="0.25">
      <c r="A88" s="18" t="s">
        <v>316</v>
      </c>
      <c r="B88" s="32" t="s">
        <v>43</v>
      </c>
      <c r="C88" s="30" t="s">
        <v>10</v>
      </c>
      <c r="D88" s="30" t="s">
        <v>16</v>
      </c>
      <c r="E88" s="32" t="s">
        <v>317</v>
      </c>
      <c r="F88" s="33"/>
      <c r="G88" s="18" t="str">
        <f>VLOOKUP(Клиенты[[#This Row],[Клиент]],Контракты[Клиент],1,FALSE)</f>
        <v>ЛиС-Трейд-Л</v>
      </c>
    </row>
    <row r="89" spans="1:7" x14ac:dyDescent="0.25">
      <c r="A89" s="18" t="s">
        <v>543</v>
      </c>
      <c r="B89" s="32" t="s">
        <v>42</v>
      </c>
      <c r="C89" s="30" t="s">
        <v>13</v>
      </c>
      <c r="D89" s="30" t="s">
        <v>14</v>
      </c>
      <c r="E89" s="32" t="s">
        <v>544</v>
      </c>
      <c r="F89" s="33"/>
      <c r="G89" s="18" t="str">
        <f>VLOOKUP(Клиенты[[#This Row],[Клиент]],Контракты[Клиент],1,FALSE)</f>
        <v>Лобненский завод строительного фарфора</v>
      </c>
    </row>
    <row r="90" spans="1:7" x14ac:dyDescent="0.25">
      <c r="A90" s="18" t="s">
        <v>304</v>
      </c>
      <c r="B90" s="32" t="s">
        <v>39</v>
      </c>
      <c r="C90" s="30" t="s">
        <v>13</v>
      </c>
      <c r="D90" s="30" t="s">
        <v>14</v>
      </c>
      <c r="E90" s="32" t="s">
        <v>305</v>
      </c>
      <c r="F90" s="33"/>
      <c r="G90" s="18" t="str">
        <f>VLOOKUP(Клиенты[[#This Row],[Клиент]],Контракты[Клиент],1,FALSE)</f>
        <v>ЛСР.Стеновые-М</v>
      </c>
    </row>
    <row r="91" spans="1:7" x14ac:dyDescent="0.25">
      <c r="A91" s="18" t="s">
        <v>306</v>
      </c>
      <c r="B91" s="32" t="s">
        <v>39</v>
      </c>
      <c r="C91" s="30" t="s">
        <v>13</v>
      </c>
      <c r="D91" s="30" t="s">
        <v>14</v>
      </c>
      <c r="E91" s="32" t="s">
        <v>307</v>
      </c>
      <c r="F91" s="33"/>
      <c r="G91" s="18" t="str">
        <f>VLOOKUP(Клиенты[[#This Row],[Клиент]],Контракты[Клиент],1,FALSE)</f>
        <v>ЛСР.Стеновые-СЗ</v>
      </c>
    </row>
    <row r="92" spans="1:7" x14ac:dyDescent="0.25">
      <c r="A92" s="18" t="s">
        <v>342</v>
      </c>
      <c r="B92" s="32" t="s">
        <v>43</v>
      </c>
      <c r="C92" s="30" t="s">
        <v>13</v>
      </c>
      <c r="D92" s="30" t="s">
        <v>14</v>
      </c>
      <c r="E92" s="32" t="s">
        <v>343</v>
      </c>
      <c r="F92" s="33"/>
      <c r="G92" s="18" t="str">
        <f>VLOOKUP(Клиенты[[#This Row],[Клиент]],Контракты[Клиент],1,FALSE)</f>
        <v>Лужский Абразивный Завод</v>
      </c>
    </row>
    <row r="93" spans="1:7" x14ac:dyDescent="0.25">
      <c r="A93" s="6" t="s">
        <v>54</v>
      </c>
      <c r="B93" s="24" t="s">
        <v>50</v>
      </c>
      <c r="C93" s="7" t="s">
        <v>10</v>
      </c>
      <c r="D93" s="7" t="s">
        <v>16</v>
      </c>
      <c r="E93" s="24" t="s">
        <v>53</v>
      </c>
      <c r="F93" s="33"/>
      <c r="G93" s="18" t="str">
        <f>VLOOKUP(Клиенты[[#This Row],[Клиент]],Контракты[Клиент],1,FALSE)</f>
        <v>Лыткаринский завод оптического стекла</v>
      </c>
    </row>
    <row r="94" spans="1:7" x14ac:dyDescent="0.25">
      <c r="A94" s="6" t="s">
        <v>56</v>
      </c>
      <c r="B94" s="24" t="s">
        <v>43</v>
      </c>
      <c r="C94" s="7" t="s">
        <v>12</v>
      </c>
      <c r="D94" s="7" t="s">
        <v>15</v>
      </c>
      <c r="E94" s="23" t="s">
        <v>664</v>
      </c>
      <c r="F94" s="33"/>
      <c r="G94" s="18" t="str">
        <f>VLOOKUP(Клиенты[[#This Row],[Клиент]],Контракты[Клиент],1,FALSE)</f>
        <v>Мапеи</v>
      </c>
    </row>
    <row r="95" spans="1:7" x14ac:dyDescent="0.25">
      <c r="A95" s="6" t="s">
        <v>137</v>
      </c>
      <c r="B95" s="24" t="s">
        <v>43</v>
      </c>
      <c r="C95" s="7" t="s">
        <v>12</v>
      </c>
      <c r="D95" s="7" t="s">
        <v>15</v>
      </c>
      <c r="E95" s="24" t="s">
        <v>138</v>
      </c>
      <c r="F95" s="33"/>
      <c r="G95" s="18" t="str">
        <f>VLOOKUP(Клиенты[[#This Row],[Клиент]],Контракты[Клиент],1,FALSE)</f>
        <v>МаСт</v>
      </c>
    </row>
    <row r="96" spans="1:7" x14ac:dyDescent="0.25">
      <c r="A96" s="18" t="s">
        <v>475</v>
      </c>
      <c r="B96" s="32" t="s">
        <v>41</v>
      </c>
      <c r="C96" s="30" t="s">
        <v>10</v>
      </c>
      <c r="D96" s="30" t="s">
        <v>16</v>
      </c>
      <c r="E96" s="32" t="s">
        <v>476</v>
      </c>
      <c r="F96" s="33"/>
      <c r="G96" s="18" t="str">
        <f>VLOOKUP(Клиенты[[#This Row],[Клиент]],Контракты[Клиент],1,FALSE)</f>
        <v>Мефферт Продакшн</v>
      </c>
    </row>
    <row r="97" spans="1:7" x14ac:dyDescent="0.25">
      <c r="A97" s="6" t="s">
        <v>139</v>
      </c>
      <c r="B97" s="24" t="s">
        <v>43</v>
      </c>
      <c r="C97" s="4" t="s">
        <v>10</v>
      </c>
      <c r="D97" s="4" t="s">
        <v>16</v>
      </c>
      <c r="E97" s="4" t="s">
        <v>613</v>
      </c>
      <c r="F97" s="33"/>
      <c r="G97" s="18" t="str">
        <f>VLOOKUP(Клиенты[[#This Row],[Клиент]],Контракты[Клиент],1,FALSE)</f>
        <v>МИКС</v>
      </c>
    </row>
    <row r="98" spans="1:7" x14ac:dyDescent="0.25">
      <c r="A98" s="18" t="s">
        <v>327</v>
      </c>
      <c r="B98" s="32" t="s">
        <v>45</v>
      </c>
      <c r="C98" s="30" t="s">
        <v>10</v>
      </c>
      <c r="D98" s="30" t="s">
        <v>16</v>
      </c>
      <c r="E98" s="32" t="s">
        <v>328</v>
      </c>
      <c r="F98" s="33"/>
      <c r="G98" s="18" t="str">
        <f>VLOOKUP(Клиенты[[#This Row],[Клиент]],Контракты[Клиент],1,FALSE)</f>
        <v>МостСервис</v>
      </c>
    </row>
    <row r="99" spans="1:7" x14ac:dyDescent="0.25">
      <c r="A99" s="6" t="s">
        <v>140</v>
      </c>
      <c r="B99" s="24" t="s">
        <v>43</v>
      </c>
      <c r="C99" s="7" t="s">
        <v>12</v>
      </c>
      <c r="D99" s="7" t="s">
        <v>15</v>
      </c>
      <c r="E99" s="24" t="s">
        <v>199</v>
      </c>
      <c r="F99" s="33"/>
      <c r="G99" s="18" t="str">
        <f>VLOOKUP(Клиенты[[#This Row],[Клиент]],Контракты[Клиент],1,FALSE)</f>
        <v>МУРЕКСИН</v>
      </c>
    </row>
    <row r="100" spans="1:7" x14ac:dyDescent="0.25">
      <c r="A100" s="121" t="s">
        <v>694</v>
      </c>
      <c r="B100" s="115" t="s">
        <v>43</v>
      </c>
      <c r="C100" s="122" t="s">
        <v>10</v>
      </c>
      <c r="D100" s="122" t="s">
        <v>16</v>
      </c>
      <c r="E100" s="115" t="s">
        <v>695</v>
      </c>
      <c r="F100" s="123"/>
      <c r="G100" s="121" t="str">
        <f>VLOOKUP(Клиенты[[#This Row],[Клиент]],Контракты[Клиент],1,FALSE)</f>
        <v>НЕДРИКС</v>
      </c>
    </row>
    <row r="101" spans="1:7" x14ac:dyDescent="0.25">
      <c r="A101" s="18" t="s">
        <v>324</v>
      </c>
      <c r="B101" s="32" t="s">
        <v>43</v>
      </c>
      <c r="C101" s="30" t="s">
        <v>13</v>
      </c>
      <c r="D101" s="30" t="s">
        <v>14</v>
      </c>
      <c r="E101" s="32" t="s">
        <v>318</v>
      </c>
      <c r="F101" s="33"/>
      <c r="G101" s="18" t="str">
        <f>VLOOKUP(Клиенты[[#This Row],[Клиент]],Контракты[Клиент],1,FALSE)</f>
        <v>Неруд-Холдинг</v>
      </c>
    </row>
    <row r="102" spans="1:7" x14ac:dyDescent="0.25">
      <c r="A102" s="18" t="s">
        <v>300</v>
      </c>
      <c r="B102" s="32" t="s">
        <v>42</v>
      </c>
      <c r="C102" s="30" t="s">
        <v>13</v>
      </c>
      <c r="D102" s="30" t="s">
        <v>14</v>
      </c>
      <c r="E102" s="32" t="s">
        <v>301</v>
      </c>
      <c r="F102" s="33"/>
      <c r="G102" s="18" t="str">
        <f>VLOOKUP(Клиенты[[#This Row],[Клиент]],Контракты[Клиент],1,FALSE)</f>
        <v>Нефрит-Керамика</v>
      </c>
    </row>
    <row r="103" spans="1:7" x14ac:dyDescent="0.25">
      <c r="A103" s="18" t="s">
        <v>308</v>
      </c>
      <c r="B103" s="32" t="s">
        <v>39</v>
      </c>
      <c r="C103" s="30" t="s">
        <v>13</v>
      </c>
      <c r="D103" s="30" t="s">
        <v>14</v>
      </c>
      <c r="E103" s="32" t="s">
        <v>309</v>
      </c>
      <c r="F103" s="33"/>
      <c r="G103" s="18" t="str">
        <f>VLOOKUP(Клиенты[[#This Row],[Клиент]],Контракты[Клиент],1,FALSE)</f>
        <v>НЗКМ</v>
      </c>
    </row>
    <row r="104" spans="1:7" x14ac:dyDescent="0.25">
      <c r="A104" s="18" t="s">
        <v>280</v>
      </c>
      <c r="B104" s="32" t="s">
        <v>44</v>
      </c>
      <c r="C104" s="30" t="s">
        <v>10</v>
      </c>
      <c r="D104" s="30" t="s">
        <v>16</v>
      </c>
      <c r="E104" s="32" t="s">
        <v>281</v>
      </c>
      <c r="F104" s="33"/>
      <c r="G104" s="18" t="str">
        <f>VLOOKUP(Клиенты[[#This Row],[Клиент]],Контракты[Клиент],1,FALSE)</f>
        <v>НИКА-ПЕТРОТЭК</v>
      </c>
    </row>
    <row r="105" spans="1:7" x14ac:dyDescent="0.25">
      <c r="A105" s="5" t="s">
        <v>319</v>
      </c>
      <c r="B105" s="32" t="s">
        <v>44</v>
      </c>
      <c r="C105" s="30" t="s">
        <v>12</v>
      </c>
      <c r="D105" s="30" t="s">
        <v>320</v>
      </c>
      <c r="E105" s="32" t="s">
        <v>321</v>
      </c>
      <c r="F105" s="33"/>
      <c r="G105" s="18" t="str">
        <f>VLOOKUP(Клиенты[[#This Row],[Клиент]],Контракты[Клиент],1,FALSE)</f>
        <v>Новолипецкий металлургический комбинат</v>
      </c>
    </row>
    <row r="106" spans="1:7" x14ac:dyDescent="0.25">
      <c r="A106" s="18" t="s">
        <v>497</v>
      </c>
      <c r="B106" s="32" t="s">
        <v>43</v>
      </c>
      <c r="C106" s="30" t="s">
        <v>12</v>
      </c>
      <c r="D106" s="30" t="s">
        <v>15</v>
      </c>
      <c r="E106" s="32" t="s">
        <v>642</v>
      </c>
      <c r="F106" s="33"/>
      <c r="G106" s="18" t="str">
        <f>VLOOKUP(Клиенты[[#This Row],[Клиент]],Контракты[Клиент],1,FALSE)</f>
        <v>НовТехСтрой</v>
      </c>
    </row>
    <row r="107" spans="1:7" x14ac:dyDescent="0.25">
      <c r="A107" s="5" t="s">
        <v>677</v>
      </c>
      <c r="B107" s="23" t="s">
        <v>42</v>
      </c>
      <c r="C107" s="4" t="s">
        <v>13</v>
      </c>
      <c r="D107" s="4" t="s">
        <v>14</v>
      </c>
      <c r="E107" s="23" t="s">
        <v>188</v>
      </c>
      <c r="F107" s="95"/>
      <c r="G107" s="5" t="str">
        <f>VLOOKUP(Клиенты[[#This Row],[Клиент]],Контракты[Клиент],1,FALSE)</f>
        <v>Ногинский комбинат строительных изделий</v>
      </c>
    </row>
    <row r="108" spans="1:7" x14ac:dyDescent="0.25">
      <c r="A108" s="6" t="s">
        <v>141</v>
      </c>
      <c r="B108" s="24" t="s">
        <v>43</v>
      </c>
      <c r="C108" s="7" t="s">
        <v>10</v>
      </c>
      <c r="D108" s="7" t="s">
        <v>16</v>
      </c>
      <c r="E108" s="24" t="s">
        <v>142</v>
      </c>
      <c r="F108" s="33"/>
      <c r="G108" s="18" t="str">
        <f>VLOOKUP(Клиенты[[#This Row],[Клиент]],Контракты[Клиент],1,FALSE)</f>
        <v>Ногинский комбинат строительных смесей</v>
      </c>
    </row>
    <row r="109" spans="1:7" x14ac:dyDescent="0.25">
      <c r="A109" s="5" t="s">
        <v>1</v>
      </c>
      <c r="B109" s="23" t="s">
        <v>42</v>
      </c>
      <c r="C109" s="4" t="s">
        <v>10</v>
      </c>
      <c r="D109" s="4" t="s">
        <v>16</v>
      </c>
      <c r="E109" s="44" t="s">
        <v>618</v>
      </c>
      <c r="F109" s="33"/>
      <c r="G109" s="18" t="str">
        <f>VLOOKUP(Клиенты[[#This Row],[Клиент]],Контракты[Клиент],1,FALSE)</f>
        <v>Ногинский Стройфарфор</v>
      </c>
    </row>
    <row r="110" spans="1:7" x14ac:dyDescent="0.25">
      <c r="A110" s="49" t="s">
        <v>566</v>
      </c>
      <c r="B110" s="50" t="s">
        <v>41</v>
      </c>
      <c r="C110" s="51" t="s">
        <v>10</v>
      </c>
      <c r="D110" s="51" t="s">
        <v>16</v>
      </c>
      <c r="E110" s="50" t="s">
        <v>567</v>
      </c>
      <c r="F110" s="33"/>
      <c r="G110" s="49" t="str">
        <f>VLOOKUP(Клиенты[[#This Row],[Клиент]],Контракты[Клиент],1,FALSE)</f>
        <v>Нортекс</v>
      </c>
    </row>
    <row r="111" spans="1:7" x14ac:dyDescent="0.25">
      <c r="A111" s="6" t="s">
        <v>72</v>
      </c>
      <c r="B111" s="24" t="s">
        <v>50</v>
      </c>
      <c r="C111" s="7" t="s">
        <v>12</v>
      </c>
      <c r="D111" s="7" t="s">
        <v>15</v>
      </c>
      <c r="E111" s="24" t="s">
        <v>73</v>
      </c>
      <c r="F111" s="33"/>
      <c r="G111" s="18" t="str">
        <f>VLOOKUP(Клиенты[[#This Row],[Клиент]],Контракты[Клиент],1,FALSE)</f>
        <v>НПО Стеклопластик</v>
      </c>
    </row>
    <row r="112" spans="1:7" x14ac:dyDescent="0.25">
      <c r="A112" s="18" t="s">
        <v>526</v>
      </c>
      <c r="B112" s="32" t="s">
        <v>41</v>
      </c>
      <c r="C112" s="30" t="s">
        <v>10</v>
      </c>
      <c r="D112" s="30" t="s">
        <v>16</v>
      </c>
      <c r="E112" s="32" t="s">
        <v>527</v>
      </c>
      <c r="F112" s="33"/>
      <c r="G112" s="18" t="str">
        <f>VLOOKUP(Клиенты[[#This Row],[Клиент]],Контракты[Клиент],1,FALSE)</f>
        <v>НПХ ВМП</v>
      </c>
    </row>
    <row r="113" spans="1:7" x14ac:dyDescent="0.25">
      <c r="A113" s="18" t="s">
        <v>500</v>
      </c>
      <c r="B113" s="32" t="s">
        <v>41</v>
      </c>
      <c r="C113" s="30" t="s">
        <v>10</v>
      </c>
      <c r="D113" s="30" t="s">
        <v>16</v>
      </c>
      <c r="E113" s="32" t="s">
        <v>501</v>
      </c>
      <c r="F113" s="33"/>
      <c r="G113" s="18" t="str">
        <f>VLOOKUP(Клиенты[[#This Row],[Клиент]],Контракты[Клиент],1,FALSE)</f>
        <v>НПЦ АвиаЛит</v>
      </c>
    </row>
    <row r="114" spans="1:7" x14ac:dyDescent="0.25">
      <c r="A114" s="18" t="s">
        <v>491</v>
      </c>
      <c r="B114" s="32" t="s">
        <v>41</v>
      </c>
      <c r="C114" s="30" t="s">
        <v>10</v>
      </c>
      <c r="D114" s="30" t="s">
        <v>16</v>
      </c>
      <c r="E114" s="32" t="s">
        <v>492</v>
      </c>
      <c r="F114" s="33"/>
      <c r="G114" s="18" t="str">
        <f>VLOOKUP(Клиенты[[#This Row],[Клиент]],Контракты[Клиент],1,FALSE)</f>
        <v>НПЦ Металлург</v>
      </c>
    </row>
    <row r="115" spans="1:7" x14ac:dyDescent="0.25">
      <c r="A115" s="90" t="s">
        <v>675</v>
      </c>
      <c r="B115" s="91" t="s">
        <v>44</v>
      </c>
      <c r="C115" s="92" t="s">
        <v>10</v>
      </c>
      <c r="D115" s="92" t="s">
        <v>16</v>
      </c>
      <c r="E115" s="91" t="s">
        <v>676</v>
      </c>
      <c r="F115" s="93"/>
      <c r="G115" s="90" t="str">
        <f>VLOOKUP(Клиенты[[#This Row],[Клиент]],Контракты[Клиент],1,FALSE)</f>
        <v>НТЦ ЭВЕРЕСТ</v>
      </c>
    </row>
    <row r="116" spans="1:7" x14ac:dyDescent="0.25">
      <c r="A116" s="18" t="s">
        <v>278</v>
      </c>
      <c r="B116" s="32" t="s">
        <v>44</v>
      </c>
      <c r="C116" s="30" t="s">
        <v>10</v>
      </c>
      <c r="D116" s="30" t="s">
        <v>16</v>
      </c>
      <c r="E116" s="32" t="s">
        <v>279</v>
      </c>
      <c r="F116" s="33"/>
      <c r="G116" s="18" t="str">
        <f>VLOOKUP(Клиенты[[#This Row],[Клиент]],Контракты[Клиент],1,FALSE)</f>
        <v>ОгнеупорПром</v>
      </c>
    </row>
    <row r="117" spans="1:7" x14ac:dyDescent="0.25">
      <c r="A117" s="18" t="s">
        <v>273</v>
      </c>
      <c r="B117" s="32" t="s">
        <v>44</v>
      </c>
      <c r="C117" s="30" t="s">
        <v>13</v>
      </c>
      <c r="D117" s="30" t="s">
        <v>14</v>
      </c>
      <c r="E117" s="32" t="s">
        <v>233</v>
      </c>
      <c r="F117" s="33"/>
      <c r="G117" s="18" t="str">
        <f>VLOOKUP(Клиенты[[#This Row],[Клиент]],Контракты[Клиент],1,FALSE)</f>
        <v>Оленегорский механический завод</v>
      </c>
    </row>
    <row r="118" spans="1:7" x14ac:dyDescent="0.25">
      <c r="A118" s="18" t="s">
        <v>231</v>
      </c>
      <c r="B118" s="32" t="s">
        <v>44</v>
      </c>
      <c r="C118" s="30" t="s">
        <v>13</v>
      </c>
      <c r="D118" s="30" t="s">
        <v>14</v>
      </c>
      <c r="E118" s="32" t="s">
        <v>232</v>
      </c>
      <c r="F118" s="33"/>
      <c r="G118" s="18" t="str">
        <f>VLOOKUP(Клиенты[[#This Row],[Клиент]],Контракты[Клиент],1,FALSE)</f>
        <v>ОМЗ-ЛП</v>
      </c>
    </row>
    <row r="119" spans="1:7" x14ac:dyDescent="0.25">
      <c r="A119" s="6" t="s">
        <v>92</v>
      </c>
      <c r="B119" s="24" t="s">
        <v>50</v>
      </c>
      <c r="C119" s="7" t="s">
        <v>12</v>
      </c>
      <c r="D119" s="7" t="s">
        <v>18</v>
      </c>
      <c r="E119" s="24" t="s">
        <v>93</v>
      </c>
      <c r="F119" s="33"/>
      <c r="G119" s="18" t="str">
        <f>VLOOKUP(Клиенты[[#This Row],[Клиент]],Контракты[Клиент],1,FALSE)</f>
        <v>Опытный стекольный завод</v>
      </c>
    </row>
    <row r="120" spans="1:7" x14ac:dyDescent="0.25">
      <c r="A120" s="6" t="s">
        <v>74</v>
      </c>
      <c r="B120" s="24" t="s">
        <v>50</v>
      </c>
      <c r="C120" s="7" t="s">
        <v>12</v>
      </c>
      <c r="D120" s="7" t="s">
        <v>15</v>
      </c>
      <c r="E120" s="44" t="s">
        <v>700</v>
      </c>
      <c r="F120" s="33"/>
      <c r="G120" s="18" t="str">
        <f>VLOOKUP(Клиенты[[#This Row],[Клиент]],Контракты[Клиент],1,FALSE)</f>
        <v>ОСВ Стекловолокно</v>
      </c>
    </row>
    <row r="121" spans="1:7" x14ac:dyDescent="0.25">
      <c r="A121" s="18" t="s">
        <v>545</v>
      </c>
      <c r="B121" s="32" t="s">
        <v>39</v>
      </c>
      <c r="C121" s="30" t="s">
        <v>13</v>
      </c>
      <c r="D121" s="30" t="s">
        <v>14</v>
      </c>
      <c r="E121" s="32" t="s">
        <v>546</v>
      </c>
      <c r="F121" s="33"/>
      <c r="G121" s="18" t="str">
        <f>VLOOKUP(Клиенты[[#This Row],[Клиент]],Контракты[Клиент],1,FALSE)</f>
        <v>ОСМиБТ</v>
      </c>
    </row>
    <row r="122" spans="1:7" x14ac:dyDescent="0.25">
      <c r="A122" s="18" t="s">
        <v>519</v>
      </c>
      <c r="B122" s="32" t="s">
        <v>41</v>
      </c>
      <c r="C122" s="30" t="s">
        <v>10</v>
      </c>
      <c r="D122" s="30" t="s">
        <v>16</v>
      </c>
      <c r="E122" s="32" t="s">
        <v>520</v>
      </c>
      <c r="F122" s="33"/>
      <c r="G122" s="18" t="str">
        <f>VLOOKUP(Клиенты[[#This Row],[Клиент]],Контракты[Клиент],1,FALSE)</f>
        <v>ПАРДУС</v>
      </c>
    </row>
    <row r="123" spans="1:7" x14ac:dyDescent="0.25">
      <c r="A123" s="5" t="s">
        <v>143</v>
      </c>
      <c r="B123" s="24" t="s">
        <v>50</v>
      </c>
      <c r="C123" s="7" t="s">
        <v>12</v>
      </c>
      <c r="D123" s="7" t="s">
        <v>15</v>
      </c>
      <c r="E123" s="24" t="s">
        <v>200</v>
      </c>
      <c r="F123" s="33"/>
      <c r="G123" s="18" t="str">
        <f>VLOOKUP(Клиенты[[#This Row],[Клиент]],Контракты[Клиент],1,FALSE)</f>
        <v>П-Д Татнефть-Алабуга Стекловолокно</v>
      </c>
    </row>
    <row r="124" spans="1:7" x14ac:dyDescent="0.25">
      <c r="A124" s="5" t="s">
        <v>9</v>
      </c>
      <c r="B124" s="23" t="s">
        <v>44</v>
      </c>
      <c r="C124" s="4" t="s">
        <v>13</v>
      </c>
      <c r="D124" s="4" t="s">
        <v>14</v>
      </c>
      <c r="E124" s="24" t="s">
        <v>75</v>
      </c>
      <c r="F124" s="33"/>
      <c r="G124" s="18" t="str">
        <f>VLOOKUP(Клиенты[[#This Row],[Клиент]],Контракты[Клиент],1,FALSE)</f>
        <v>Первоуральский динасовый завод</v>
      </c>
    </row>
    <row r="125" spans="1:7" x14ac:dyDescent="0.25">
      <c r="A125" s="6" t="s">
        <v>144</v>
      </c>
      <c r="B125" s="24" t="s">
        <v>43</v>
      </c>
      <c r="C125" s="7" t="s">
        <v>10</v>
      </c>
      <c r="D125" s="7" t="s">
        <v>16</v>
      </c>
      <c r="E125" s="44" t="s">
        <v>617</v>
      </c>
      <c r="F125" s="33"/>
      <c r="G125" s="18" t="str">
        <f>VLOOKUP(Клиенты[[#This Row],[Клиент]],Контракты[Клиент],1,FALSE)</f>
        <v>Перспективные энергетические технологии</v>
      </c>
    </row>
    <row r="126" spans="1:7" x14ac:dyDescent="0.25">
      <c r="A126" s="58" t="s">
        <v>598</v>
      </c>
      <c r="B126" s="55" t="s">
        <v>45</v>
      </c>
      <c r="C126" s="59" t="s">
        <v>10</v>
      </c>
      <c r="D126" s="59" t="s">
        <v>16</v>
      </c>
      <c r="E126" s="55" t="s">
        <v>599</v>
      </c>
      <c r="F126" s="33"/>
      <c r="G126" s="58" t="str">
        <f>VLOOKUP(Клиенты[[#This Row],[Клиент]],Контракты[Клиент],1,FALSE)</f>
        <v>ПетроСтрой</v>
      </c>
    </row>
    <row r="127" spans="1:7" x14ac:dyDescent="0.25">
      <c r="A127" s="6" t="s">
        <v>145</v>
      </c>
      <c r="B127" s="24" t="s">
        <v>50</v>
      </c>
      <c r="C127" s="7" t="s">
        <v>10</v>
      </c>
      <c r="D127" s="7" t="s">
        <v>16</v>
      </c>
      <c r="E127" s="23" t="s">
        <v>644</v>
      </c>
      <c r="F127" s="33"/>
      <c r="G127" s="18" t="str">
        <f>VLOOKUP(Клиенты[[#This Row],[Клиент]],Контракты[Клиент],1,FALSE)</f>
        <v>Пилкингтон Гласс</v>
      </c>
    </row>
    <row r="128" spans="1:7" x14ac:dyDescent="0.25">
      <c r="A128" s="6" t="s">
        <v>146</v>
      </c>
      <c r="B128" s="24" t="s">
        <v>44</v>
      </c>
      <c r="C128" s="7" t="s">
        <v>13</v>
      </c>
      <c r="D128" s="7" t="s">
        <v>14</v>
      </c>
      <c r="E128" s="24" t="s">
        <v>147</v>
      </c>
      <c r="F128" s="33"/>
      <c r="G128" s="18" t="str">
        <f>VLOOKUP(Клиенты[[#This Row],[Клиент]],Контракты[Клиент],1,FALSE)</f>
        <v>ПК Борец</v>
      </c>
    </row>
    <row r="129" spans="1:7" x14ac:dyDescent="0.25">
      <c r="A129" s="6" t="s">
        <v>154</v>
      </c>
      <c r="B129" s="24" t="s">
        <v>43</v>
      </c>
      <c r="C129" s="7" t="s">
        <v>12</v>
      </c>
      <c r="D129" s="7" t="s">
        <v>15</v>
      </c>
      <c r="E129" s="24" t="s">
        <v>155</v>
      </c>
      <c r="F129" s="33"/>
      <c r="G129" s="18" t="str">
        <f>VLOOKUP(Клиенты[[#This Row],[Клиент]],Контракты[Клиент],1,FALSE)</f>
        <v>ПК Седрус</v>
      </c>
    </row>
    <row r="130" spans="1:7" x14ac:dyDescent="0.25">
      <c r="A130" s="18" t="s">
        <v>452</v>
      </c>
      <c r="B130" s="32" t="s">
        <v>41</v>
      </c>
      <c r="C130" s="30" t="s">
        <v>10</v>
      </c>
      <c r="D130" s="30" t="s">
        <v>16</v>
      </c>
      <c r="E130" s="32" t="s">
        <v>453</v>
      </c>
      <c r="F130" s="33"/>
      <c r="G130" s="18" t="str">
        <f>VLOOKUP(Клиенты[[#This Row],[Клиент]],Контракты[Клиент],1,FALSE)</f>
        <v>Пластик-Строймаркет</v>
      </c>
    </row>
    <row r="131" spans="1:7" x14ac:dyDescent="0.25">
      <c r="A131" s="18" t="s">
        <v>511</v>
      </c>
      <c r="B131" s="32" t="s">
        <v>49</v>
      </c>
      <c r="C131" s="30" t="s">
        <v>10</v>
      </c>
      <c r="D131" s="30" t="s">
        <v>16</v>
      </c>
      <c r="E131" s="32" t="s">
        <v>512</v>
      </c>
      <c r="F131" s="33"/>
      <c r="G131" s="18" t="str">
        <f>VLOOKUP(Клиенты[[#This Row],[Клиент]],Контракты[Клиент],1,FALSE)</f>
        <v>ПО Одинцово</v>
      </c>
    </row>
    <row r="132" spans="1:7" x14ac:dyDescent="0.25">
      <c r="A132" s="49" t="s">
        <v>570</v>
      </c>
      <c r="B132" s="50" t="s">
        <v>41</v>
      </c>
      <c r="C132" s="51" t="s">
        <v>10</v>
      </c>
      <c r="D132" s="51" t="s">
        <v>16</v>
      </c>
      <c r="E132" s="50" t="s">
        <v>571</v>
      </c>
      <c r="F132" s="33"/>
      <c r="G132" s="49" t="str">
        <f>VLOOKUP(Клиенты[[#This Row],[Клиент]],Контракты[Клиент],1,FALSE)</f>
        <v>ПолимерДизайн</v>
      </c>
    </row>
    <row r="133" spans="1:7" x14ac:dyDescent="0.25">
      <c r="A133" s="18" t="s">
        <v>473</v>
      </c>
      <c r="B133" s="32" t="s">
        <v>41</v>
      </c>
      <c r="C133" s="30" t="s">
        <v>10</v>
      </c>
      <c r="D133" s="30" t="s">
        <v>16</v>
      </c>
      <c r="E133" s="32" t="s">
        <v>474</v>
      </c>
      <c r="F133" s="33"/>
      <c r="G133" s="18" t="str">
        <f>VLOOKUP(Клиенты[[#This Row],[Клиент]],Контракты[Клиент],1,FALSE)</f>
        <v>Предприятие ВР</v>
      </c>
    </row>
    <row r="134" spans="1:7" x14ac:dyDescent="0.25">
      <c r="A134" s="18" t="s">
        <v>522</v>
      </c>
      <c r="B134" s="32" t="s">
        <v>50</v>
      </c>
      <c r="C134" s="30" t="s">
        <v>10</v>
      </c>
      <c r="D134" s="30" t="s">
        <v>16</v>
      </c>
      <c r="E134" s="32" t="s">
        <v>523</v>
      </c>
      <c r="F134" s="33"/>
      <c r="G134" s="18" t="str">
        <f>VLOOKUP(Клиенты[[#This Row],[Клиент]],Контракты[Клиент],1,FALSE)</f>
        <v>ПромРесурс</v>
      </c>
    </row>
    <row r="135" spans="1:7" x14ac:dyDescent="0.25">
      <c r="A135" s="5" t="s">
        <v>5</v>
      </c>
      <c r="B135" s="23" t="s">
        <v>43</v>
      </c>
      <c r="C135" s="4" t="s">
        <v>12</v>
      </c>
      <c r="D135" s="4" t="s">
        <v>17</v>
      </c>
      <c r="E135" s="24" t="s">
        <v>148</v>
      </c>
      <c r="F135" s="33"/>
      <c r="G135" s="18" t="str">
        <f>VLOOKUP(Клиенты[[#This Row],[Клиент]],Контракты[Клиент],1,FALSE)</f>
        <v>ПРОМЭКСТЭК</v>
      </c>
    </row>
    <row r="136" spans="1:7" x14ac:dyDescent="0.25">
      <c r="A136" s="18" t="s">
        <v>507</v>
      </c>
      <c r="B136" s="32" t="s">
        <v>43</v>
      </c>
      <c r="C136" s="30" t="s">
        <v>10</v>
      </c>
      <c r="D136" s="30" t="s">
        <v>16</v>
      </c>
      <c r="E136" s="32" t="s">
        <v>508</v>
      </c>
      <c r="F136" s="33"/>
      <c r="G136" s="18" t="str">
        <f>VLOOKUP(Клиенты[[#This Row],[Клиент]],Контракты[Клиент],1,FALSE)</f>
        <v>РБП</v>
      </c>
    </row>
    <row r="137" spans="1:7" x14ac:dyDescent="0.25">
      <c r="A137" s="6" t="s">
        <v>149</v>
      </c>
      <c r="B137" s="24" t="s">
        <v>50</v>
      </c>
      <c r="C137" s="7" t="s">
        <v>13</v>
      </c>
      <c r="D137" s="7" t="s">
        <v>14</v>
      </c>
      <c r="E137" s="24" t="s">
        <v>131</v>
      </c>
      <c r="F137" s="33"/>
      <c r="G137" s="18" t="str">
        <f>VLOOKUP(Клиенты[[#This Row],[Клиент]],Контракты[Клиент],1,FALSE)</f>
        <v>Резерв</v>
      </c>
    </row>
    <row r="138" spans="1:7" x14ac:dyDescent="0.25">
      <c r="A138" s="58" t="s">
        <v>578</v>
      </c>
      <c r="B138" s="55" t="s">
        <v>44</v>
      </c>
      <c r="C138" s="59" t="s">
        <v>10</v>
      </c>
      <c r="D138" s="59" t="s">
        <v>16</v>
      </c>
      <c r="E138" s="55" t="s">
        <v>579</v>
      </c>
      <c r="F138" s="33">
        <v>1</v>
      </c>
      <c r="G138" s="58" t="str">
        <f>VLOOKUP(Клиенты[[#This Row],[Клиент]],Контракты[Клиент],1,FALSE)</f>
        <v>Ремикс</v>
      </c>
    </row>
    <row r="139" spans="1:7" x14ac:dyDescent="0.25">
      <c r="A139" s="18" t="s">
        <v>282</v>
      </c>
      <c r="B139" s="32" t="s">
        <v>42</v>
      </c>
      <c r="C139" s="30" t="s">
        <v>12</v>
      </c>
      <c r="D139" s="30" t="s">
        <v>17</v>
      </c>
      <c r="E139" s="32" t="s">
        <v>283</v>
      </c>
      <c r="F139" s="33">
        <v>1</v>
      </c>
      <c r="G139" s="18" t="str">
        <f>VLOOKUP(Клиенты[[#This Row],[Клиент]],Контракты[Клиент],1,FALSE)</f>
        <v>Речицкий фарфоровый завод</v>
      </c>
    </row>
    <row r="140" spans="1:7" x14ac:dyDescent="0.25">
      <c r="A140" s="5" t="s">
        <v>8</v>
      </c>
      <c r="B140" s="23" t="s">
        <v>38</v>
      </c>
      <c r="C140" s="4" t="s">
        <v>12</v>
      </c>
      <c r="D140" s="4" t="s">
        <v>15</v>
      </c>
      <c r="E140" s="24" t="s">
        <v>94</v>
      </c>
      <c r="F140" s="33"/>
      <c r="G140" s="18" t="str">
        <f>VLOOKUP(Клиенты[[#This Row],[Клиент]],Контракты[Клиент],1,FALSE)</f>
        <v>РМК</v>
      </c>
    </row>
    <row r="141" spans="1:7" x14ac:dyDescent="0.25">
      <c r="A141" s="71" t="s">
        <v>625</v>
      </c>
      <c r="B141" s="69" t="s">
        <v>45</v>
      </c>
      <c r="C141" s="72" t="s">
        <v>10</v>
      </c>
      <c r="D141" s="72" t="s">
        <v>16</v>
      </c>
      <c r="E141" s="69" t="s">
        <v>626</v>
      </c>
      <c r="F141" s="33"/>
      <c r="G141" s="71" t="str">
        <f>VLOOKUP(Клиенты[[#This Row],[Клиент]],Контракты[Клиент],1,FALSE)</f>
        <v>РНК</v>
      </c>
    </row>
    <row r="142" spans="1:7" x14ac:dyDescent="0.25">
      <c r="A142" s="58" t="s">
        <v>587</v>
      </c>
      <c r="B142" s="55" t="s">
        <v>44</v>
      </c>
      <c r="C142" s="59" t="s">
        <v>12</v>
      </c>
      <c r="D142" s="59" t="s">
        <v>588</v>
      </c>
      <c r="E142" s="55" t="s">
        <v>589</v>
      </c>
      <c r="F142" s="33"/>
      <c r="G142" s="58" t="str">
        <f>VLOOKUP(Клиенты[[#This Row],[Клиент]],Контракты[Клиент],1,FALSE)</f>
        <v>Родонит</v>
      </c>
    </row>
    <row r="143" spans="1:7" x14ac:dyDescent="0.25">
      <c r="A143" s="18" t="s">
        <v>466</v>
      </c>
      <c r="B143" s="32" t="s">
        <v>38</v>
      </c>
      <c r="C143" s="30" t="s">
        <v>12</v>
      </c>
      <c r="D143" s="30" t="s">
        <v>467</v>
      </c>
      <c r="E143" s="32" t="s">
        <v>468</v>
      </c>
      <c r="F143" s="33"/>
      <c r="G143" s="18" t="str">
        <f>VLOOKUP(Клиенты[[#This Row],[Клиент]],Контракты[Клиент],1,FALSE)</f>
        <v>Рока Рус</v>
      </c>
    </row>
    <row r="144" spans="1:7" x14ac:dyDescent="0.25">
      <c r="A144" s="18" t="s">
        <v>213</v>
      </c>
      <c r="B144" s="32" t="s">
        <v>50</v>
      </c>
      <c r="C144" s="30" t="s">
        <v>13</v>
      </c>
      <c r="D144" s="30" t="s">
        <v>14</v>
      </c>
      <c r="E144" s="32" t="s">
        <v>214</v>
      </c>
      <c r="F144" s="33"/>
      <c r="G144" s="18" t="str">
        <f>VLOOKUP(Клиенты[[#This Row],[Клиент]],Контракты[Клиент],1,FALSE)</f>
        <v>РС-СТЕКЛОСНАБ</v>
      </c>
    </row>
    <row r="145" spans="1:7" x14ac:dyDescent="0.25">
      <c r="A145" s="18" t="s">
        <v>209</v>
      </c>
      <c r="B145" s="32" t="s">
        <v>50</v>
      </c>
      <c r="C145" s="30" t="s">
        <v>10</v>
      </c>
      <c r="D145" s="30" t="s">
        <v>16</v>
      </c>
      <c r="E145" s="32" t="s">
        <v>210</v>
      </c>
      <c r="F145" s="33"/>
      <c r="G145" s="18" t="str">
        <f>VLOOKUP(Клиенты[[#This Row],[Клиент]],Контракты[Клиент],1,FALSE)</f>
        <v>РСХ</v>
      </c>
    </row>
    <row r="146" spans="1:7" x14ac:dyDescent="0.25">
      <c r="A146" s="58" t="s">
        <v>575</v>
      </c>
      <c r="B146" s="55" t="s">
        <v>44</v>
      </c>
      <c r="C146" s="59" t="s">
        <v>12</v>
      </c>
      <c r="D146" s="59" t="s">
        <v>576</v>
      </c>
      <c r="E146" s="55" t="s">
        <v>577</v>
      </c>
      <c r="F146" s="33"/>
      <c r="G146" s="58" t="str">
        <f>VLOOKUP(Клиенты[[#This Row],[Клиент]],Контракты[Клиент],1,FALSE)</f>
        <v>Рубин</v>
      </c>
    </row>
    <row r="147" spans="1:7" x14ac:dyDescent="0.25">
      <c r="A147" s="18" t="s">
        <v>532</v>
      </c>
      <c r="B147" s="32" t="s">
        <v>50</v>
      </c>
      <c r="C147" s="30" t="s">
        <v>13</v>
      </c>
      <c r="D147" s="30" t="s">
        <v>14</v>
      </c>
      <c r="E147" s="32" t="s">
        <v>533</v>
      </c>
      <c r="F147" s="33"/>
      <c r="G147" s="18" t="str">
        <f>VLOOKUP(Клиенты[[#This Row],[Клиент]],Контракты[Клиент],1,FALSE)</f>
        <v>Рузаевский Стекольный Завод</v>
      </c>
    </row>
    <row r="148" spans="1:7" x14ac:dyDescent="0.25">
      <c r="A148" s="5" t="s">
        <v>150</v>
      </c>
      <c r="B148" s="23" t="s">
        <v>50</v>
      </c>
      <c r="C148" s="4" t="s">
        <v>13</v>
      </c>
      <c r="D148" s="4" t="s">
        <v>14</v>
      </c>
      <c r="E148" s="24" t="s">
        <v>151</v>
      </c>
      <c r="F148" s="33"/>
      <c r="G148" s="18" t="str">
        <f>VLOOKUP(Клиенты[[#This Row],[Клиент]],Контракты[Клиент],1,FALSE)</f>
        <v>Русджам</v>
      </c>
    </row>
    <row r="149" spans="1:7" x14ac:dyDescent="0.25">
      <c r="A149" s="18" t="s">
        <v>472</v>
      </c>
      <c r="B149" s="32" t="s">
        <v>50</v>
      </c>
      <c r="C149" s="30" t="s">
        <v>10</v>
      </c>
      <c r="D149" s="30" t="s">
        <v>16</v>
      </c>
      <c r="E149" s="23" t="s">
        <v>616</v>
      </c>
      <c r="F149" s="33"/>
      <c r="G149" s="18" t="str">
        <f>VLOOKUP(Клиенты[[#This Row],[Клиент]],Контракты[Клиент],1,FALSE)</f>
        <v>Русджам Стекло</v>
      </c>
    </row>
    <row r="150" spans="1:7" x14ac:dyDescent="0.25">
      <c r="A150" s="18" t="s">
        <v>276</v>
      </c>
      <c r="B150" s="32" t="s">
        <v>42</v>
      </c>
      <c r="C150" s="30" t="s">
        <v>13</v>
      </c>
      <c r="D150" s="30" t="s">
        <v>14</v>
      </c>
      <c r="E150" s="32" t="s">
        <v>277</v>
      </c>
      <c r="F150" s="33"/>
      <c r="G150" s="18" t="str">
        <f>VLOOKUP(Клиенты[[#This Row],[Клиент]],Контракты[Клиент],1,FALSE)</f>
        <v>Самарский Стройфарфор</v>
      </c>
    </row>
    <row r="151" spans="1:7" x14ac:dyDescent="0.25">
      <c r="A151" s="18" t="s">
        <v>290</v>
      </c>
      <c r="B151" s="32" t="s">
        <v>42</v>
      </c>
      <c r="C151" s="30" t="s">
        <v>13</v>
      </c>
      <c r="D151" s="30" t="s">
        <v>14</v>
      </c>
      <c r="E151" s="32" t="s">
        <v>291</v>
      </c>
      <c r="F151" s="33"/>
      <c r="G151" s="18" t="str">
        <f>VLOOKUP(Клиенты[[#This Row],[Клиент]],Контракты[Клиент],1,FALSE)</f>
        <v>Самарское Объединение Керамики</v>
      </c>
    </row>
    <row r="152" spans="1:7" x14ac:dyDescent="0.25">
      <c r="A152" s="18" t="s">
        <v>534</v>
      </c>
      <c r="B152" s="32" t="s">
        <v>50</v>
      </c>
      <c r="C152" s="30" t="s">
        <v>13</v>
      </c>
      <c r="D152" s="30" t="s">
        <v>14</v>
      </c>
      <c r="E152" s="32" t="s">
        <v>535</v>
      </c>
      <c r="F152" s="33"/>
      <c r="G152" s="18" t="str">
        <f>VLOOKUP(Клиенты[[#This Row],[Клиент]],Контракты[Клиент],1,FALSE)</f>
        <v>СВЕТ</v>
      </c>
    </row>
    <row r="153" spans="1:7" x14ac:dyDescent="0.25">
      <c r="A153" s="85" t="s">
        <v>655</v>
      </c>
      <c r="B153" s="80" t="s">
        <v>41</v>
      </c>
      <c r="C153" s="86" t="s">
        <v>10</v>
      </c>
      <c r="D153" s="86" t="s">
        <v>16</v>
      </c>
      <c r="E153" s="80" t="s">
        <v>656</v>
      </c>
      <c r="F153" s="33"/>
      <c r="G153" s="85" t="str">
        <f>VLOOKUP(Клиенты[[#This Row],[Клиент]],Контракты[Клиент],1,FALSE)</f>
        <v>СВО</v>
      </c>
    </row>
    <row r="154" spans="1:7" x14ac:dyDescent="0.25">
      <c r="A154" s="71" t="s">
        <v>629</v>
      </c>
      <c r="B154" s="69" t="s">
        <v>38</v>
      </c>
      <c r="C154" s="72" t="s">
        <v>10</v>
      </c>
      <c r="D154" s="72" t="s">
        <v>16</v>
      </c>
      <c r="E154" s="69" t="s">
        <v>632</v>
      </c>
      <c r="F154" s="33"/>
      <c r="G154" s="71" t="str">
        <f>VLOOKUP(Клиенты[[#This Row],[Клиент]],Контракты[Клиент],1,FALSE)</f>
        <v>СВХК</v>
      </c>
    </row>
    <row r="155" spans="1:7" x14ac:dyDescent="0.25">
      <c r="A155" s="18" t="s">
        <v>284</v>
      </c>
      <c r="B155" s="32" t="s">
        <v>44</v>
      </c>
      <c r="C155" s="30" t="s">
        <v>10</v>
      </c>
      <c r="D155" s="30" t="s">
        <v>16</v>
      </c>
      <c r="E155" s="32" t="s">
        <v>285</v>
      </c>
      <c r="F155" s="33"/>
      <c r="G155" s="18" t="str">
        <f>VLOOKUP(Клиенты[[#This Row],[Клиент]],Контракты[Клиент],1,FALSE)</f>
        <v>Семилукские огнеупоры</v>
      </c>
    </row>
    <row r="156" spans="1:7" x14ac:dyDescent="0.25">
      <c r="A156" s="5" t="s">
        <v>6</v>
      </c>
      <c r="B156" s="23" t="s">
        <v>43</v>
      </c>
      <c r="C156" s="4" t="s">
        <v>12</v>
      </c>
      <c r="D156" s="4" t="s">
        <v>15</v>
      </c>
      <c r="E156" s="23" t="s">
        <v>671</v>
      </c>
      <c r="F156" s="33"/>
      <c r="G156" s="18" t="str">
        <f>VLOOKUP(Клиенты[[#This Row],[Клиент]],Контракты[Клиент],1,FALSE)</f>
        <v>Сен-Гобен Строительньная Продукция Рус</v>
      </c>
    </row>
    <row r="157" spans="1:7" x14ac:dyDescent="0.25">
      <c r="A157" s="49" t="s">
        <v>568</v>
      </c>
      <c r="B157" s="50" t="s">
        <v>41</v>
      </c>
      <c r="C157" s="51" t="s">
        <v>10</v>
      </c>
      <c r="D157" s="51" t="s">
        <v>16</v>
      </c>
      <c r="E157" s="50" t="s">
        <v>569</v>
      </c>
      <c r="F157" s="33"/>
      <c r="G157" s="49" t="str">
        <f>VLOOKUP(Клиенты[[#This Row],[Клиент]],Контракты[Клиент],1,FALSE)</f>
        <v>Сириус</v>
      </c>
    </row>
    <row r="158" spans="1:7" x14ac:dyDescent="0.25">
      <c r="A158" s="18" t="s">
        <v>454</v>
      </c>
      <c r="B158" s="32" t="s">
        <v>41</v>
      </c>
      <c r="C158" s="30" t="s">
        <v>10</v>
      </c>
      <c r="D158" s="30" t="s">
        <v>16</v>
      </c>
      <c r="E158" s="32" t="s">
        <v>455</v>
      </c>
      <c r="F158" s="33"/>
      <c r="G158" s="18" t="str">
        <f>VLOOKUP(Клиенты[[#This Row],[Клиент]],Контракты[Клиент],1,FALSE)</f>
        <v>СК Полибилд</v>
      </c>
    </row>
    <row r="159" spans="1:7" x14ac:dyDescent="0.25">
      <c r="A159" s="6" t="s">
        <v>156</v>
      </c>
      <c r="B159" s="24" t="s">
        <v>41</v>
      </c>
      <c r="C159" s="7" t="s">
        <v>12</v>
      </c>
      <c r="D159" s="7" t="s">
        <v>15</v>
      </c>
      <c r="E159" s="24" t="s">
        <v>157</v>
      </c>
      <c r="F159" s="33"/>
      <c r="G159" s="18" t="str">
        <f>VLOOKUP(Клиенты[[#This Row],[Клиент]],Контракты[Клиент],1,FALSE)</f>
        <v>СМТ Продукт</v>
      </c>
    </row>
    <row r="160" spans="1:7" x14ac:dyDescent="0.25">
      <c r="A160" s="18" t="s">
        <v>484</v>
      </c>
      <c r="B160" s="32" t="s">
        <v>41</v>
      </c>
      <c r="C160" s="30" t="s">
        <v>10</v>
      </c>
      <c r="D160" s="30" t="s">
        <v>16</v>
      </c>
      <c r="E160" s="32" t="s">
        <v>485</v>
      </c>
      <c r="F160" s="33"/>
      <c r="G160" s="18" t="str">
        <f>VLOOKUP(Клиенты[[#This Row],[Клиент]],Контракты[Клиент],1,FALSE)</f>
        <v>Современные строительные технологии</v>
      </c>
    </row>
    <row r="161" spans="1:7" x14ac:dyDescent="0.25">
      <c r="A161" s="18" t="s">
        <v>215</v>
      </c>
      <c r="B161" s="32" t="s">
        <v>50</v>
      </c>
      <c r="C161" s="30" t="s">
        <v>13</v>
      </c>
      <c r="D161" s="30" t="s">
        <v>14</v>
      </c>
      <c r="E161" s="32" t="s">
        <v>216</v>
      </c>
      <c r="F161" s="33"/>
      <c r="G161" s="18" t="str">
        <f>VLOOKUP(Клиенты[[#This Row],[Клиент]],Контракты[Клиент],1,FALSE)</f>
        <v>Солстек</v>
      </c>
    </row>
    <row r="162" spans="1:7" x14ac:dyDescent="0.25">
      <c r="A162" s="58" t="s">
        <v>594</v>
      </c>
      <c r="B162" s="55" t="s">
        <v>45</v>
      </c>
      <c r="C162" s="59" t="s">
        <v>10</v>
      </c>
      <c r="D162" s="59" t="s">
        <v>16</v>
      </c>
      <c r="E162" s="55" t="s">
        <v>595</v>
      </c>
      <c r="F162" s="33"/>
      <c r="G162" s="58" t="str">
        <f>VLOOKUP(Клиенты[[#This Row],[Клиент]],Контракты[Клиент],1,FALSE)</f>
        <v>СпецТехМеханика</v>
      </c>
    </row>
    <row r="163" spans="1:7" x14ac:dyDescent="0.25">
      <c r="A163" s="90" t="s">
        <v>679</v>
      </c>
      <c r="B163" s="91" t="s">
        <v>45</v>
      </c>
      <c r="C163" s="92" t="s">
        <v>10</v>
      </c>
      <c r="D163" s="92" t="s">
        <v>16</v>
      </c>
      <c r="E163" s="44" t="s">
        <v>680</v>
      </c>
      <c r="F163" s="93"/>
      <c r="G163" s="90" t="str">
        <f>VLOOKUP(Клиенты[[#This Row],[Клиент]],Контракты[Клиент],1,FALSE)</f>
        <v>СпецТрест</v>
      </c>
    </row>
    <row r="164" spans="1:7" x14ac:dyDescent="0.25">
      <c r="A164" s="6" t="s">
        <v>152</v>
      </c>
      <c r="B164" s="24" t="s">
        <v>43</v>
      </c>
      <c r="C164" s="7" t="s">
        <v>12</v>
      </c>
      <c r="D164" s="7" t="s">
        <v>15</v>
      </c>
      <c r="E164" s="24" t="s">
        <v>153</v>
      </c>
      <c r="F164" s="33"/>
      <c r="G164" s="18" t="str">
        <f>VLOOKUP(Клиенты[[#This Row],[Клиент]],Контракты[Клиент],1,FALSE)</f>
        <v>СПС</v>
      </c>
    </row>
    <row r="165" spans="1:7" x14ac:dyDescent="0.25">
      <c r="A165" s="58" t="s">
        <v>596</v>
      </c>
      <c r="B165" s="55" t="s">
        <v>45</v>
      </c>
      <c r="C165" s="59" t="s">
        <v>10</v>
      </c>
      <c r="D165" s="59" t="s">
        <v>16</v>
      </c>
      <c r="E165" s="55" t="s">
        <v>597</v>
      </c>
      <c r="F165" s="33"/>
      <c r="G165" s="58" t="str">
        <f>VLOOKUP(Клиенты[[#This Row],[Клиент]],Контракты[Клиент],1,FALSE)</f>
        <v>Стальконструкция</v>
      </c>
    </row>
    <row r="166" spans="1:7" x14ac:dyDescent="0.25">
      <c r="A166" s="6" t="s">
        <v>95</v>
      </c>
      <c r="B166" s="24" t="s">
        <v>43</v>
      </c>
      <c r="C166" s="7" t="s">
        <v>10</v>
      </c>
      <c r="D166" s="7" t="s">
        <v>16</v>
      </c>
      <c r="E166" s="24" t="s">
        <v>96</v>
      </c>
      <c r="F166" s="33"/>
      <c r="G166" s="18" t="str">
        <f>VLOOKUP(Клиенты[[#This Row],[Клиент]],Контракты[Клиент],1,FALSE)</f>
        <v>Стандарт качества</v>
      </c>
    </row>
    <row r="167" spans="1:7" x14ac:dyDescent="0.25">
      <c r="A167" s="6" t="s">
        <v>158</v>
      </c>
      <c r="B167" s="24" t="s">
        <v>43</v>
      </c>
      <c r="C167" s="7" t="s">
        <v>10</v>
      </c>
      <c r="D167" s="7" t="s">
        <v>16</v>
      </c>
      <c r="E167" s="24" t="s">
        <v>159</v>
      </c>
      <c r="F167" s="33"/>
      <c r="G167" s="18" t="str">
        <f>VLOOKUP(Клиенты[[#This Row],[Клиент]],Контракты[Клиент],1,FALSE)</f>
        <v>Старатели</v>
      </c>
    </row>
    <row r="168" spans="1:7" x14ac:dyDescent="0.25">
      <c r="A168" s="5" t="s">
        <v>513</v>
      </c>
      <c r="B168" s="32" t="s">
        <v>45</v>
      </c>
      <c r="C168" s="30" t="s">
        <v>10</v>
      </c>
      <c r="D168" s="30" t="s">
        <v>16</v>
      </c>
      <c r="E168" s="32" t="s">
        <v>514</v>
      </c>
      <c r="F168" s="33"/>
      <c r="G168" s="18" t="str">
        <f>VLOOKUP(Клиенты[[#This Row],[Клиент]],Контракты[Клиент],1,FALSE)</f>
        <v>Стелла-Память</v>
      </c>
    </row>
    <row r="169" spans="1:7" x14ac:dyDescent="0.25">
      <c r="A169" s="18" t="s">
        <v>292</v>
      </c>
      <c r="B169" s="32" t="s">
        <v>45</v>
      </c>
      <c r="C169" s="30" t="s">
        <v>13</v>
      </c>
      <c r="D169" s="30" t="s">
        <v>14</v>
      </c>
      <c r="E169" s="32" t="s">
        <v>293</v>
      </c>
      <c r="F169" s="33"/>
      <c r="G169" s="18" t="str">
        <f>VLOOKUP(Клиенты[[#This Row],[Клиент]],Контракты[Клиент],1,FALSE)</f>
        <v>Стима Групп</v>
      </c>
    </row>
    <row r="170" spans="1:7" x14ac:dyDescent="0.25">
      <c r="A170" s="18" t="s">
        <v>553</v>
      </c>
      <c r="B170" s="32" t="s">
        <v>45</v>
      </c>
      <c r="C170" s="30" t="s">
        <v>10</v>
      </c>
      <c r="D170" s="30" t="s">
        <v>16</v>
      </c>
      <c r="E170" s="32" t="s">
        <v>554</v>
      </c>
      <c r="F170" s="33"/>
      <c r="G170" s="18" t="str">
        <f>VLOOKUP(Клиенты[[#This Row],[Клиент]],Контракты[Клиент],1,FALSE)</f>
        <v>СТК Магистраль</v>
      </c>
    </row>
    <row r="171" spans="1:7" x14ac:dyDescent="0.25">
      <c r="A171" s="5" t="s">
        <v>0</v>
      </c>
      <c r="B171" s="23" t="s">
        <v>50</v>
      </c>
      <c r="C171" s="4" t="s">
        <v>13</v>
      </c>
      <c r="D171" s="4" t="s">
        <v>14</v>
      </c>
      <c r="E171" s="24" t="s">
        <v>67</v>
      </c>
      <c r="F171" s="33"/>
      <c r="G171" s="18" t="str">
        <f>VLOOKUP(Клиенты[[#This Row],[Клиент]],Контракты[Клиент],1,FALSE)</f>
        <v>Стратегия</v>
      </c>
    </row>
    <row r="172" spans="1:7" x14ac:dyDescent="0.25">
      <c r="A172" s="18" t="s">
        <v>338</v>
      </c>
      <c r="B172" s="32" t="s">
        <v>45</v>
      </c>
      <c r="C172" s="30" t="s">
        <v>10</v>
      </c>
      <c r="D172" s="30" t="s">
        <v>16</v>
      </c>
      <c r="E172" s="32" t="s">
        <v>339</v>
      </c>
      <c r="F172" s="33"/>
      <c r="G172" s="18" t="str">
        <f>VLOOKUP(Клиенты[[#This Row],[Клиент]],Контракты[Клиент],1,FALSE)</f>
        <v>Строй Инжиниринг Девелопмент</v>
      </c>
    </row>
    <row r="173" spans="1:7" x14ac:dyDescent="0.25">
      <c r="A173" s="18" t="s">
        <v>515</v>
      </c>
      <c r="B173" s="32" t="s">
        <v>43</v>
      </c>
      <c r="C173" s="30" t="s">
        <v>10</v>
      </c>
      <c r="D173" s="30" t="s">
        <v>16</v>
      </c>
      <c r="E173" s="32" t="s">
        <v>516</v>
      </c>
      <c r="F173" s="33"/>
      <c r="G173" s="18" t="str">
        <f>VLOOKUP(Клиенты[[#This Row],[Клиент]],Контракты[Клиент],1,FALSE)</f>
        <v>Строй-Конструкция</v>
      </c>
    </row>
    <row r="174" spans="1:7" x14ac:dyDescent="0.25">
      <c r="A174" s="18" t="s">
        <v>503</v>
      </c>
      <c r="B174" s="32" t="s">
        <v>41</v>
      </c>
      <c r="C174" s="30" t="s">
        <v>10</v>
      </c>
      <c r="D174" s="30" t="s">
        <v>16</v>
      </c>
      <c r="E174" s="32" t="s">
        <v>504</v>
      </c>
      <c r="F174" s="33"/>
      <c r="G174" s="18" t="str">
        <f>VLOOKUP(Клиенты[[#This Row],[Клиент]],Контракты[Клиент],1,FALSE)</f>
        <v>Стройновкомплект</v>
      </c>
    </row>
    <row r="175" spans="1:7" x14ac:dyDescent="0.25">
      <c r="A175" s="18" t="s">
        <v>340</v>
      </c>
      <c r="B175" s="32" t="s">
        <v>41</v>
      </c>
      <c r="C175" s="30" t="s">
        <v>10</v>
      </c>
      <c r="D175" s="30" t="s">
        <v>16</v>
      </c>
      <c r="E175" s="32" t="s">
        <v>341</v>
      </c>
      <c r="F175" s="33"/>
      <c r="G175" s="18" t="str">
        <f>VLOOKUP(Клиенты[[#This Row],[Клиент]],Контракты[Клиент],1,FALSE)</f>
        <v>Стройсервисиндустрия</v>
      </c>
    </row>
    <row r="176" spans="1:7" x14ac:dyDescent="0.25">
      <c r="A176" s="18" t="s">
        <v>464</v>
      </c>
      <c r="B176" s="32" t="s">
        <v>41</v>
      </c>
      <c r="C176" s="30" t="s">
        <v>13</v>
      </c>
      <c r="D176" s="30" t="s">
        <v>14</v>
      </c>
      <c r="E176" s="32" t="s">
        <v>465</v>
      </c>
      <c r="F176" s="33"/>
      <c r="G176" s="18" t="str">
        <f>VLOOKUP(Клиенты[[#This Row],[Клиент]],Контракты[Клиент],1,FALSE)</f>
        <v>ТАРКЕТТ</v>
      </c>
    </row>
    <row r="177" spans="1:7" x14ac:dyDescent="0.25">
      <c r="A177" s="58" t="s">
        <v>572</v>
      </c>
      <c r="B177" s="55" t="s">
        <v>44</v>
      </c>
      <c r="C177" s="59" t="s">
        <v>312</v>
      </c>
      <c r="D177" s="59" t="s">
        <v>313</v>
      </c>
      <c r="E177" s="55" t="s">
        <v>573</v>
      </c>
      <c r="F177" s="33"/>
      <c r="G177" s="58" t="str">
        <f>VLOOKUP(Клиенты[[#This Row],[Клиент]],Контракты[Клиент],1,FALSE)</f>
        <v>ТВСЗ</v>
      </c>
    </row>
    <row r="178" spans="1:7" x14ac:dyDescent="0.25">
      <c r="A178" s="6" t="s">
        <v>170</v>
      </c>
      <c r="B178" s="24" t="s">
        <v>43</v>
      </c>
      <c r="C178" s="7" t="s">
        <v>12</v>
      </c>
      <c r="D178" s="7" t="s">
        <v>15</v>
      </c>
      <c r="E178" s="24" t="s">
        <v>171</v>
      </c>
      <c r="F178" s="33"/>
      <c r="G178" s="18" t="str">
        <f>VLOOKUP(Клиенты[[#This Row],[Клиент]],Контракты[Клиент],1,FALSE)</f>
        <v>ТД Строительные материалы</v>
      </c>
    </row>
    <row r="179" spans="1:7" x14ac:dyDescent="0.25">
      <c r="A179" s="6" t="s">
        <v>161</v>
      </c>
      <c r="B179" s="24" t="s">
        <v>50</v>
      </c>
      <c r="C179" s="7" t="s">
        <v>12</v>
      </c>
      <c r="D179" s="7" t="s">
        <v>15</v>
      </c>
      <c r="E179" s="24" t="s">
        <v>162</v>
      </c>
      <c r="F179" s="33"/>
      <c r="G179" s="18" t="str">
        <f>VLOOKUP(Клиенты[[#This Row],[Клиент]],Контракты[Клиент],1,FALSE)</f>
        <v>Термглас</v>
      </c>
    </row>
    <row r="180" spans="1:7" x14ac:dyDescent="0.25">
      <c r="A180" s="18" t="s">
        <v>212</v>
      </c>
      <c r="B180" s="32" t="s">
        <v>50</v>
      </c>
      <c r="C180" s="30" t="s">
        <v>10</v>
      </c>
      <c r="D180" s="30" t="s">
        <v>16</v>
      </c>
      <c r="E180" s="44" t="s">
        <v>643</v>
      </c>
      <c r="F180" s="33"/>
      <c r="G180" s="18" t="str">
        <f>VLOOKUP(Клиенты[[#This Row],[Клиент]],Контракты[Клиент],1,FALSE)</f>
        <v>Техмаркет</v>
      </c>
    </row>
    <row r="181" spans="1:7" x14ac:dyDescent="0.25">
      <c r="A181" s="19" t="s">
        <v>517</v>
      </c>
      <c r="B181" s="34" t="s">
        <v>44</v>
      </c>
      <c r="C181" s="52" t="s">
        <v>10</v>
      </c>
      <c r="D181" s="52" t="s">
        <v>15</v>
      </c>
      <c r="E181" s="34" t="s">
        <v>518</v>
      </c>
      <c r="F181" s="33"/>
      <c r="G181" s="18" t="str">
        <f>VLOOKUP(Клиенты[[#This Row],[Клиент]],Контракты[Клиент],1,FALSE)</f>
        <v>Техно Лит</v>
      </c>
    </row>
    <row r="182" spans="1:7" x14ac:dyDescent="0.25">
      <c r="A182" s="19" t="s">
        <v>322</v>
      </c>
      <c r="B182" s="34" t="s">
        <v>41</v>
      </c>
      <c r="C182" s="52" t="s">
        <v>10</v>
      </c>
      <c r="D182" s="52" t="s">
        <v>16</v>
      </c>
      <c r="E182" s="34" t="s">
        <v>323</v>
      </c>
      <c r="F182" s="33">
        <v>1</v>
      </c>
      <c r="G182" s="19" t="str">
        <f>VLOOKUP(Клиенты[[#This Row],[Клиент]],Контракты[Клиент],1,FALSE)</f>
        <v>ТК КРАСКИ ЧЕРНОЗЕМЬЯ</v>
      </c>
    </row>
    <row r="183" spans="1:7" x14ac:dyDescent="0.25">
      <c r="A183" s="47" t="s">
        <v>163</v>
      </c>
      <c r="B183" s="25" t="s">
        <v>40</v>
      </c>
      <c r="C183" s="48" t="s">
        <v>10</v>
      </c>
      <c r="D183" s="48" t="s">
        <v>16</v>
      </c>
      <c r="E183" s="66" t="s">
        <v>164</v>
      </c>
      <c r="F183" s="33"/>
      <c r="G183" s="19" t="str">
        <f>VLOOKUP(Клиенты[[#This Row],[Клиент]],Контракты[Клиент],1,FALSE)</f>
        <v>Торговый Дом Геркулес</v>
      </c>
    </row>
    <row r="184" spans="1:7" x14ac:dyDescent="0.25">
      <c r="A184" s="19" t="s">
        <v>558</v>
      </c>
      <c r="B184" s="34" t="s">
        <v>45</v>
      </c>
      <c r="C184" s="52" t="s">
        <v>10</v>
      </c>
      <c r="D184" s="52" t="s">
        <v>16</v>
      </c>
      <c r="E184" s="34" t="s">
        <v>559</v>
      </c>
      <c r="F184" s="33"/>
      <c r="G184" s="19" t="str">
        <f>VLOOKUP(Клиенты[[#This Row],[Клиент]],Контракты[Клиент],1,FALSE)</f>
        <v>Торговый дом Камей</v>
      </c>
    </row>
    <row r="185" spans="1:7" x14ac:dyDescent="0.25">
      <c r="A185" s="19" t="s">
        <v>325</v>
      </c>
      <c r="B185" s="34" t="s">
        <v>45</v>
      </c>
      <c r="C185" s="52" t="s">
        <v>10</v>
      </c>
      <c r="D185" s="52" t="s">
        <v>16</v>
      </c>
      <c r="E185" s="34" t="s">
        <v>326</v>
      </c>
      <c r="F185" s="33"/>
      <c r="G185" s="19" t="str">
        <f>VLOOKUP(Клиенты[[#This Row],[Клиент]],Контракты[Клиент],1,FALSE)</f>
        <v>Торговый дом ТАВР Неруд</v>
      </c>
    </row>
    <row r="186" spans="1:7" x14ac:dyDescent="0.25">
      <c r="A186" s="19" t="s">
        <v>274</v>
      </c>
      <c r="B186" s="34" t="s">
        <v>44</v>
      </c>
      <c r="C186" s="52" t="s">
        <v>10</v>
      </c>
      <c r="D186" s="52" t="s">
        <v>16</v>
      </c>
      <c r="E186" s="34" t="s">
        <v>275</v>
      </c>
      <c r="F186" s="33"/>
      <c r="G186" s="19" t="str">
        <f>VLOOKUP(Клиенты[[#This Row],[Клиент]],Контракты[Клиент],1,FALSE)</f>
        <v>Торговый Дом Центральный</v>
      </c>
    </row>
    <row r="187" spans="1:7" x14ac:dyDescent="0.25">
      <c r="A187" s="47" t="s">
        <v>167</v>
      </c>
      <c r="B187" s="25" t="s">
        <v>43</v>
      </c>
      <c r="C187" s="48" t="s">
        <v>12</v>
      </c>
      <c r="D187" s="48" t="s">
        <v>15</v>
      </c>
      <c r="E187" s="25" t="s">
        <v>168</v>
      </c>
      <c r="F187" s="33"/>
      <c r="G187" s="19" t="str">
        <f>VLOOKUP(Клиенты[[#This Row],[Клиент]],Контракты[Клиент],1,FALSE)</f>
        <v>Торговый Дом Экс Морэ</v>
      </c>
    </row>
    <row r="188" spans="1:7" x14ac:dyDescent="0.25">
      <c r="A188" s="19" t="s">
        <v>551</v>
      </c>
      <c r="B188" s="34" t="s">
        <v>39</v>
      </c>
      <c r="C188" s="52" t="s">
        <v>10</v>
      </c>
      <c r="D188" s="52" t="s">
        <v>16</v>
      </c>
      <c r="E188" s="34" t="s">
        <v>552</v>
      </c>
      <c r="F188" s="33"/>
      <c r="G188" s="19" t="str">
        <f>VLOOKUP(Клиенты[[#This Row],[Клиент]],Контракты[Клиент],1,FALSE)</f>
        <v>Трансстроминвест</v>
      </c>
    </row>
    <row r="189" spans="1:7" x14ac:dyDescent="0.25">
      <c r="A189" s="19" t="s">
        <v>294</v>
      </c>
      <c r="B189" s="34" t="s">
        <v>42</v>
      </c>
      <c r="C189" s="52" t="s">
        <v>13</v>
      </c>
      <c r="D189" s="52" t="s">
        <v>14</v>
      </c>
      <c r="E189" s="34" t="s">
        <v>295</v>
      </c>
      <c r="F189" s="33"/>
      <c r="G189" s="19" t="str">
        <f>VLOOKUP(Клиенты[[#This Row],[Клиент]],Контракты[Клиент],1,FALSE)</f>
        <v>УграКерам</v>
      </c>
    </row>
    <row r="190" spans="1:7" x14ac:dyDescent="0.25">
      <c r="A190" s="47" t="s">
        <v>172</v>
      </c>
      <c r="B190" s="25" t="s">
        <v>43</v>
      </c>
      <c r="C190" s="48" t="s">
        <v>12</v>
      </c>
      <c r="D190" s="48" t="s">
        <v>15</v>
      </c>
      <c r="E190" s="25" t="s">
        <v>173</v>
      </c>
      <c r="F190" s="33"/>
      <c r="G190" s="19" t="str">
        <f>VLOOKUP(Клиенты[[#This Row],[Клиент]],Контракты[Клиент],1,FALSE)</f>
        <v>УРСА Евразия</v>
      </c>
    </row>
    <row r="191" spans="1:7" x14ac:dyDescent="0.25">
      <c r="A191" s="19" t="s">
        <v>298</v>
      </c>
      <c r="B191" s="34" t="s">
        <v>44</v>
      </c>
      <c r="C191" s="52" t="s">
        <v>13</v>
      </c>
      <c r="D191" s="52" t="s">
        <v>14</v>
      </c>
      <c r="E191" s="34" t="s">
        <v>299</v>
      </c>
      <c r="F191" s="45"/>
      <c r="G191" s="19" t="str">
        <f>VLOOKUP(Клиенты[[#This Row],[Клиент]],Контракты[Клиент],1,FALSE)</f>
        <v>УССК</v>
      </c>
    </row>
    <row r="192" spans="1:7" x14ac:dyDescent="0.25">
      <c r="A192" s="73" t="s">
        <v>627</v>
      </c>
      <c r="B192" s="74" t="s">
        <v>38</v>
      </c>
      <c r="C192" s="75" t="s">
        <v>10</v>
      </c>
      <c r="D192" s="75" t="s">
        <v>16</v>
      </c>
      <c r="E192" s="74" t="s">
        <v>628</v>
      </c>
      <c r="F192" s="33"/>
      <c r="G192" s="73" t="str">
        <f>VLOOKUP(Клиенты[[#This Row],[Клиент]],Контракты[Клиент],1,FALSE)</f>
        <v>УХП</v>
      </c>
    </row>
    <row r="193" spans="1:7" x14ac:dyDescent="0.25">
      <c r="A193" s="47" t="s">
        <v>174</v>
      </c>
      <c r="B193" s="25" t="s">
        <v>43</v>
      </c>
      <c r="C193" s="48" t="s">
        <v>12</v>
      </c>
      <c r="D193" s="48" t="s">
        <v>15</v>
      </c>
      <c r="E193" s="25" t="s">
        <v>175</v>
      </c>
      <c r="F193" s="60"/>
      <c r="G193" s="19" t="str">
        <f>VLOOKUP(Клиенты[[#This Row],[Клиент]],Контракты[Клиент],1,FALSE)</f>
        <v>Фаворит</v>
      </c>
    </row>
    <row r="194" spans="1:7" x14ac:dyDescent="0.25">
      <c r="A194" s="47" t="s">
        <v>176</v>
      </c>
      <c r="B194" s="25" t="s">
        <v>43</v>
      </c>
      <c r="C194" s="48" t="s">
        <v>10</v>
      </c>
      <c r="D194" s="48" t="s">
        <v>16</v>
      </c>
      <c r="E194" s="25" t="s">
        <v>177</v>
      </c>
      <c r="F194" s="45"/>
      <c r="G194" s="19" t="str">
        <f>VLOOKUP(Клиенты[[#This Row],[Клиент]],Контракты[Клиент],1,FALSE)</f>
        <v>ФасадСтоун</v>
      </c>
    </row>
    <row r="195" spans="1:7" x14ac:dyDescent="0.25">
      <c r="A195" s="19" t="s">
        <v>505</v>
      </c>
      <c r="B195" s="34" t="s">
        <v>44</v>
      </c>
      <c r="C195" s="52" t="s">
        <v>10</v>
      </c>
      <c r="D195" s="52" t="s">
        <v>16</v>
      </c>
      <c r="E195" s="34" t="s">
        <v>506</v>
      </c>
      <c r="F195" s="33"/>
      <c r="G195" s="19" t="str">
        <f>VLOOKUP(Клиенты[[#This Row],[Клиент]],Контракты[Клиент],1,FALSE)</f>
        <v>Феникс</v>
      </c>
    </row>
    <row r="196" spans="1:7" ht="25.5" x14ac:dyDescent="0.25">
      <c r="A196" s="65" t="s">
        <v>193</v>
      </c>
      <c r="B196" s="66" t="s">
        <v>50</v>
      </c>
      <c r="C196" s="64" t="s">
        <v>12</v>
      </c>
      <c r="D196" s="64" t="s">
        <v>15</v>
      </c>
      <c r="E196" s="25" t="s">
        <v>194</v>
      </c>
      <c r="F196" s="60"/>
      <c r="G196" s="19" t="str">
        <f>VLOOKUP(Клиенты[[#This Row],[Клиент]],Контракты[Клиент],1,FALSE)</f>
        <v>Филиал НПК Терм ОАО НПО Стеклопластик</v>
      </c>
    </row>
    <row r="197" spans="1:7" x14ac:dyDescent="0.25">
      <c r="A197" s="47" t="s">
        <v>178</v>
      </c>
      <c r="B197" s="25" t="s">
        <v>43</v>
      </c>
      <c r="C197" s="48" t="s">
        <v>12</v>
      </c>
      <c r="D197" s="48" t="s">
        <v>15</v>
      </c>
      <c r="E197" s="25" t="s">
        <v>179</v>
      </c>
      <c r="F197" s="45"/>
      <c r="G197" s="19" t="str">
        <f>VLOOKUP(Клиенты[[#This Row],[Клиент]],Контракты[Клиент],1,FALSE)</f>
        <v>Фирма ВЕФТ</v>
      </c>
    </row>
    <row r="198" spans="1:7" x14ac:dyDescent="0.25">
      <c r="A198" s="47" t="s">
        <v>180</v>
      </c>
      <c r="B198" s="25" t="s">
        <v>43</v>
      </c>
      <c r="C198" s="48" t="s">
        <v>10</v>
      </c>
      <c r="D198" s="48" t="s">
        <v>16</v>
      </c>
      <c r="E198" s="25" t="s">
        <v>181</v>
      </c>
      <c r="F198" s="33"/>
      <c r="G198" s="19" t="str">
        <f>VLOOKUP(Клиенты[[#This Row],[Клиент]],Контракты[Клиент],1,FALSE)</f>
        <v>Фирма Русеан</v>
      </c>
    </row>
    <row r="199" spans="1:7" x14ac:dyDescent="0.25">
      <c r="A199" s="47" t="s">
        <v>182</v>
      </c>
      <c r="B199" s="25" t="s">
        <v>43</v>
      </c>
      <c r="C199" s="64" t="s">
        <v>10</v>
      </c>
      <c r="D199" s="64" t="s">
        <v>16</v>
      </c>
      <c r="E199" s="25" t="s">
        <v>183</v>
      </c>
      <c r="F199" s="60"/>
      <c r="G199" s="19" t="str">
        <f>VLOOKUP(Клиенты[[#This Row],[Клиент]],Контракты[Клиент],1,FALSE)</f>
        <v>Форбо СТРОЙТЕХ</v>
      </c>
    </row>
    <row r="200" spans="1:7" x14ac:dyDescent="0.25">
      <c r="A200" s="19" t="s">
        <v>288</v>
      </c>
      <c r="B200" s="34" t="s">
        <v>42</v>
      </c>
      <c r="C200" s="52" t="s">
        <v>13</v>
      </c>
      <c r="D200" s="52" t="s">
        <v>14</v>
      </c>
      <c r="E200" s="34" t="s">
        <v>289</v>
      </c>
      <c r="F200" s="45"/>
      <c r="G200" s="19" t="str">
        <f>VLOOKUP(Клиенты[[#This Row],[Клиент]],Контракты[Клиент],1,FALSE)</f>
        <v>ФРИЛАЙТ</v>
      </c>
    </row>
    <row r="201" spans="1:7" x14ac:dyDescent="0.25">
      <c r="A201" s="65" t="s">
        <v>191</v>
      </c>
      <c r="B201" s="66" t="s">
        <v>41</v>
      </c>
      <c r="C201" s="64" t="s">
        <v>12</v>
      </c>
      <c r="D201" s="64" t="s">
        <v>15</v>
      </c>
      <c r="E201" s="25" t="s">
        <v>192</v>
      </c>
      <c r="F201" s="33"/>
      <c r="G201" s="19" t="str">
        <f>VLOOKUP(Клиенты[[#This Row],[Клиент]],Контракты[Клиент],1,FALSE)</f>
        <v>ФЦДТ Союз</v>
      </c>
    </row>
    <row r="202" spans="1:7" x14ac:dyDescent="0.25">
      <c r="A202" s="19" t="s">
        <v>448</v>
      </c>
      <c r="B202" s="34" t="s">
        <v>41</v>
      </c>
      <c r="C202" s="52" t="s">
        <v>10</v>
      </c>
      <c r="D202" s="52" t="s">
        <v>16</v>
      </c>
      <c r="E202" s="34" t="s">
        <v>449</v>
      </c>
      <c r="F202" s="60"/>
      <c r="G202" s="19" t="str">
        <f>VLOOKUP(Клиенты[[#This Row],[Клиент]],Контракты[Клиент],1,FALSE)</f>
        <v>Хантсман-НМГ</v>
      </c>
    </row>
    <row r="203" spans="1:7" x14ac:dyDescent="0.25">
      <c r="A203" s="19" t="s">
        <v>462</v>
      </c>
      <c r="B203" s="34" t="s">
        <v>43</v>
      </c>
      <c r="C203" s="52" t="s">
        <v>10</v>
      </c>
      <c r="D203" s="52" t="s">
        <v>16</v>
      </c>
      <c r="E203" s="66" t="s">
        <v>463</v>
      </c>
      <c r="F203" s="45"/>
      <c r="G203" s="19" t="str">
        <f>VLOOKUP(Клиенты[[#This Row],[Клиент]],Контракты[Клиент],1,FALSE)</f>
        <v>Хенкель Баутехник</v>
      </c>
    </row>
    <row r="204" spans="1:7" x14ac:dyDescent="0.25">
      <c r="A204" s="73" t="s">
        <v>637</v>
      </c>
      <c r="B204" s="74" t="s">
        <v>41</v>
      </c>
      <c r="C204" s="75" t="s">
        <v>10</v>
      </c>
      <c r="D204" s="75" t="s">
        <v>16</v>
      </c>
      <c r="E204" s="74" t="s">
        <v>638</v>
      </c>
      <c r="F204" s="33"/>
      <c r="G204" s="73" t="str">
        <f>VLOOKUP(Клиенты[[#This Row],[Клиент]],Контракты[Клиент],1,FALSE)</f>
        <v>ХИМЭКС Лимитед</v>
      </c>
    </row>
    <row r="205" spans="1:7" x14ac:dyDescent="0.25">
      <c r="A205" s="19" t="s">
        <v>495</v>
      </c>
      <c r="B205" s="34" t="s">
        <v>43</v>
      </c>
      <c r="C205" s="52" t="s">
        <v>13</v>
      </c>
      <c r="D205" s="52" t="s">
        <v>14</v>
      </c>
      <c r="E205" s="34" t="s">
        <v>496</v>
      </c>
      <c r="F205" s="60"/>
      <c r="G205" s="19" t="str">
        <f>VLOOKUP(Клиенты[[#This Row],[Клиент]],Контракты[Клиент],1,FALSE)</f>
        <v>Цементные технологии</v>
      </c>
    </row>
    <row r="206" spans="1:7" x14ac:dyDescent="0.25">
      <c r="A206" s="47" t="s">
        <v>99</v>
      </c>
      <c r="B206" s="25" t="s">
        <v>43</v>
      </c>
      <c r="C206" s="48" t="s">
        <v>12</v>
      </c>
      <c r="D206" s="48" t="s">
        <v>15</v>
      </c>
      <c r="E206" s="25" t="s">
        <v>100</v>
      </c>
      <c r="F206" s="45"/>
      <c r="G206" s="19" t="str">
        <f>VLOOKUP(Клиенты[[#This Row],[Клиент]],Контракты[Клиент],1,FALSE)</f>
        <v>Центр Современной Отделки</v>
      </c>
    </row>
    <row r="207" spans="1:7" x14ac:dyDescent="0.25">
      <c r="A207" s="19" t="s">
        <v>541</v>
      </c>
      <c r="B207" s="34" t="s">
        <v>42</v>
      </c>
      <c r="C207" s="52" t="s">
        <v>13</v>
      </c>
      <c r="D207" s="52" t="s">
        <v>14</v>
      </c>
      <c r="E207" s="34" t="s">
        <v>542</v>
      </c>
      <c r="F207" s="33"/>
      <c r="G207" s="19" t="str">
        <f>VLOOKUP(Клиенты[[#This Row],[Клиент]],Контракты[Клиент],1,FALSE)</f>
        <v>Центр-Керамика</v>
      </c>
    </row>
    <row r="208" spans="1:7" x14ac:dyDescent="0.25">
      <c r="A208" s="47" t="s">
        <v>76</v>
      </c>
      <c r="B208" s="25" t="s">
        <v>44</v>
      </c>
      <c r="C208" s="48" t="s">
        <v>10</v>
      </c>
      <c r="D208" s="48" t="s">
        <v>16</v>
      </c>
      <c r="E208" s="25" t="s">
        <v>77</v>
      </c>
      <c r="F208" s="60"/>
      <c r="G208" s="19" t="str">
        <f>VLOOKUP(Клиенты[[#This Row],[Клиент]],Контракты[Клиент],1,FALSE)</f>
        <v>ЦНИИСМ</v>
      </c>
    </row>
    <row r="209" spans="1:7" x14ac:dyDescent="0.25">
      <c r="A209" s="19" t="s">
        <v>217</v>
      </c>
      <c r="B209" s="34" t="s">
        <v>50</v>
      </c>
      <c r="C209" s="52" t="s">
        <v>13</v>
      </c>
      <c r="D209" s="52" t="s">
        <v>14</v>
      </c>
      <c r="E209" s="34" t="s">
        <v>218</v>
      </c>
      <c r="F209" s="87"/>
      <c r="G209" s="19" t="str">
        <f>VLOOKUP(Клиенты[[#This Row],[Клиент]],Контракты[Клиент],1,FALSE)</f>
        <v>Чагода</v>
      </c>
    </row>
    <row r="210" spans="1:7" x14ac:dyDescent="0.25">
      <c r="A210" s="65" t="s">
        <v>2</v>
      </c>
      <c r="B210" s="66" t="s">
        <v>43</v>
      </c>
      <c r="C210" s="64" t="s">
        <v>10</v>
      </c>
      <c r="D210" s="64" t="s">
        <v>16</v>
      </c>
      <c r="E210" s="25" t="s">
        <v>101</v>
      </c>
      <c r="F210" s="35"/>
      <c r="G210" s="19" t="str">
        <f>VLOOKUP(Клиенты[[#This Row],[Клиент]],Контракты[Клиент],1,FALSE)</f>
        <v>Штарком</v>
      </c>
    </row>
    <row r="211" spans="1:7" x14ac:dyDescent="0.25">
      <c r="A211" s="19" t="s">
        <v>219</v>
      </c>
      <c r="B211" s="34" t="s">
        <v>50</v>
      </c>
      <c r="C211" s="52" t="s">
        <v>13</v>
      </c>
      <c r="D211" s="52" t="s">
        <v>14</v>
      </c>
      <c r="E211" s="66" t="s">
        <v>661</v>
      </c>
      <c r="F211" s="63"/>
      <c r="G211" s="19" t="str">
        <f>VLOOKUP(Клиенты[[#This Row],[Клиент]],Контракты[Клиент],1,FALSE)</f>
        <v>Эй Джи Си БСЗ</v>
      </c>
    </row>
    <row r="212" spans="1:7" x14ac:dyDescent="0.25">
      <c r="A212" s="19" t="s">
        <v>220</v>
      </c>
      <c r="B212" s="34" t="s">
        <v>50</v>
      </c>
      <c r="C212" s="52" t="s">
        <v>13</v>
      </c>
      <c r="D212" s="52" t="s">
        <v>14</v>
      </c>
      <c r="E212" s="68" t="s">
        <v>221</v>
      </c>
      <c r="F212" s="87"/>
      <c r="G212" s="19" t="str">
        <f>VLOOKUP(Клиенты[[#This Row],[Клиент]],Контракты[Клиент],1,FALSE)</f>
        <v>Эй Джи Си Флэт Гласс Клин</v>
      </c>
    </row>
    <row r="213" spans="1:7" x14ac:dyDescent="0.25">
      <c r="A213" s="47" t="s">
        <v>184</v>
      </c>
      <c r="B213" s="25" t="s">
        <v>43</v>
      </c>
      <c r="C213" s="64" t="s">
        <v>10</v>
      </c>
      <c r="D213" s="64" t="s">
        <v>16</v>
      </c>
      <c r="E213" s="68" t="s">
        <v>615</v>
      </c>
      <c r="F213" s="35"/>
      <c r="G213" s="19" t="str">
        <f>VLOOKUP(Клиенты[[#This Row],[Клиент]],Контракты[Клиент],1,FALSE)</f>
        <v>Эй-Джи строймаркет</v>
      </c>
    </row>
    <row r="214" spans="1:7" x14ac:dyDescent="0.25">
      <c r="A214" s="19" t="s">
        <v>450</v>
      </c>
      <c r="B214" s="34" t="s">
        <v>41</v>
      </c>
      <c r="C214" s="52" t="s">
        <v>10</v>
      </c>
      <c r="D214" s="52" t="s">
        <v>16</v>
      </c>
      <c r="E214" s="34" t="s">
        <v>451</v>
      </c>
      <c r="F214" s="63"/>
      <c r="G214" s="19" t="str">
        <f>VLOOKUP(Клиенты[[#This Row],[Клиент]],Контракты[Клиент],1,FALSE)</f>
        <v>Экопол</v>
      </c>
    </row>
    <row r="215" spans="1:7" x14ac:dyDescent="0.25">
      <c r="A215" s="47" t="s">
        <v>185</v>
      </c>
      <c r="B215" s="25" t="s">
        <v>43</v>
      </c>
      <c r="C215" s="48" t="s">
        <v>12</v>
      </c>
      <c r="D215" s="48" t="s">
        <v>15</v>
      </c>
      <c r="E215" s="25" t="s">
        <v>186</v>
      </c>
      <c r="F215" s="87"/>
      <c r="G215" s="19" t="str">
        <f>VLOOKUP(Клиенты[[#This Row],[Клиент]],Контракты[Клиент],1,FALSE)</f>
        <v>ЭМ-СИ Баухеми</v>
      </c>
    </row>
    <row r="216" spans="1:7" x14ac:dyDescent="0.25">
      <c r="A216" s="61" t="s">
        <v>585</v>
      </c>
      <c r="B216" s="57" t="s">
        <v>44</v>
      </c>
      <c r="C216" s="62" t="s">
        <v>10</v>
      </c>
      <c r="D216" s="62" t="s">
        <v>16</v>
      </c>
      <c r="E216" s="57" t="s">
        <v>586</v>
      </c>
      <c r="F216" s="35"/>
      <c r="G216" s="61" t="str">
        <f>VLOOKUP(Клиенты[[#This Row],[Клиент]],Контракты[Клиент],1,FALSE)</f>
        <v>ЭСАБ-СВЭЛ</v>
      </c>
    </row>
    <row r="217" spans="1:7" x14ac:dyDescent="0.25">
      <c r="A217" s="73" t="s">
        <v>633</v>
      </c>
      <c r="B217" s="74" t="s">
        <v>42</v>
      </c>
      <c r="C217" s="75" t="s">
        <v>10</v>
      </c>
      <c r="D217" s="75" t="s">
        <v>16</v>
      </c>
      <c r="E217" s="74" t="s">
        <v>634</v>
      </c>
      <c r="F217" s="63"/>
      <c r="G217" s="73" t="str">
        <f>VLOOKUP(Клиенты[[#This Row],[Клиент]],Контракты[Клиент],1,FALSE)</f>
        <v>Эсмальгласс-Итака Русия</v>
      </c>
    </row>
    <row r="218" spans="1:7" x14ac:dyDescent="0.25">
      <c r="A218" s="47" t="s">
        <v>187</v>
      </c>
      <c r="B218" s="25" t="s">
        <v>42</v>
      </c>
      <c r="C218" s="48" t="s">
        <v>12</v>
      </c>
      <c r="D218" s="48" t="s">
        <v>15</v>
      </c>
      <c r="E218" s="25" t="s">
        <v>188</v>
      </c>
      <c r="F218" s="87"/>
      <c r="G218" s="19" t="str">
        <f>VLOOKUP(Клиенты[[#This Row],[Клиент]],Контракты[Клиент],1,FALSE)</f>
        <v>Эстима Керамика</v>
      </c>
    </row>
    <row r="219" spans="1:7" x14ac:dyDescent="0.25">
      <c r="A219" s="47" t="s">
        <v>189</v>
      </c>
      <c r="B219" s="25" t="s">
        <v>43</v>
      </c>
      <c r="C219" s="48" t="s">
        <v>12</v>
      </c>
      <c r="D219" s="48" t="s">
        <v>15</v>
      </c>
      <c r="E219" s="25" t="s">
        <v>190</v>
      </c>
      <c r="F219" s="35"/>
      <c r="G219" s="19" t="str">
        <f>VLOOKUP(Клиенты[[#This Row],[Клиент]],Контракты[Клиент],1,FALSE)</f>
        <v>ЮнисИмпэкс</v>
      </c>
    </row>
    <row r="220" spans="1:7" x14ac:dyDescent="0.25">
      <c r="A220" s="118" t="s">
        <v>691</v>
      </c>
      <c r="B220" s="117" t="s">
        <v>39</v>
      </c>
      <c r="C220" s="119" t="s">
        <v>13</v>
      </c>
      <c r="D220" s="119" t="s">
        <v>14</v>
      </c>
      <c r="E220" s="117" t="s">
        <v>692</v>
      </c>
      <c r="F220" s="120"/>
      <c r="G220" s="118" t="str">
        <f>VLOOKUP(Клиенты[[#This Row],[Клиент]],Контракты[Клиент],1,FALSE)</f>
        <v xml:space="preserve"> ЛЗСМиК</v>
      </c>
    </row>
  </sheetData>
  <dataValidations count="5">
    <dataValidation allowBlank="1" showInputMessage="1" showErrorMessage="1" sqref="A2:A220 E14:E85 E2:E12 E87:E96 E98:E200"/>
    <dataValidation type="list" allowBlank="1" showInputMessage="1" showErrorMessage="1" sqref="C2:C220">
      <formula1>Доставка</formula1>
    </dataValidation>
    <dataValidation type="list" allowBlank="1" showInputMessage="1" showErrorMessage="1" sqref="D2:D220">
      <formula1>Экспедитор</formula1>
    </dataValidation>
    <dataValidation type="list" allowBlank="1" showInputMessage="1" showErrorMessage="1" error="Выбирать строго из списка" sqref="B2:B220">
      <formula1>Менеджеры</formula1>
    </dataValidation>
    <dataValidation type="whole" allowBlank="1" showInputMessage="1" showErrorMessage="1" error="1 или пусто" sqref="F2:F220">
      <formula1>1</formula1>
      <formula2>1</formula2>
    </dataValidation>
  </dataValidations>
  <hyperlinks>
    <hyperlink ref="E93" r:id="rId1" display="akimova@lzos.ru, "/>
    <hyperlink ref="E148" r:id="rId2"/>
    <hyperlink ref="E156" r:id="rId3" display="Juriy.Pogodin@saint-gobain.com, "/>
    <hyperlink ref="E68" r:id="rId4"/>
    <hyperlink ref="E73" r:id="rId5"/>
    <hyperlink ref="E99" r:id="rId6"/>
    <hyperlink ref="E120" r:id="rId7"/>
    <hyperlink ref="E123" r:id="rId8"/>
    <hyperlink ref="E125" r:id="rId9"/>
    <hyperlink ref="E181" r:id="rId10"/>
    <hyperlink ref="E147" r:id="rId11" display="tyapaikin@ruzsteklo.ru, "/>
    <hyperlink ref="E183" r:id="rId12"/>
    <hyperlink ref="E97" r:id="rId13" display="mailto:kochetkov@glims.ru"/>
    <hyperlink ref="E4" r:id="rId14"/>
    <hyperlink ref="E213" r:id="rId15"/>
    <hyperlink ref="E109" r:id="rId16"/>
    <hyperlink ref="E82" r:id="rId17"/>
    <hyperlink ref="E21" r:id="rId18" display="Buned.Gaibnazarov@Vitra-Russia.ru"/>
    <hyperlink ref="E13" r:id="rId19" display="mailto:ivansnabjenie@mail.ru"/>
    <hyperlink ref="E106" r:id="rId20" display="mailto:a.sha0128@yandex.ru"/>
    <hyperlink ref="E180" r:id="rId21"/>
    <hyperlink ref="E84" r:id="rId22"/>
    <hyperlink ref="E212" r:id="rId23"/>
    <hyperlink ref="E39" r:id="rId24"/>
    <hyperlink ref="E163" r:id="rId25"/>
  </hyperlinks>
  <pageMargins left="0.7" right="0.7" top="0.75" bottom="0.75" header="0.3" footer="0.3"/>
  <pageSetup paperSize="9" orientation="portrait" r:id="rId26"/>
  <legacyDrawing r:id="rId27"/>
  <tableParts count="1">
    <tablePart r:id="rId2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Договоры"/>
  <dimension ref="A1:D456"/>
  <sheetViews>
    <sheetView workbookViewId="0">
      <pane ySplit="1" topLeftCell="A114" activePane="bottomLeft" state="frozenSplit"/>
      <selection pane="bottomLeft" activeCell="C142" sqref="C142"/>
    </sheetView>
  </sheetViews>
  <sheetFormatPr defaultRowHeight="15" x14ac:dyDescent="0.25"/>
  <cols>
    <col min="1" max="1" width="15" customWidth="1"/>
    <col min="2" max="2" width="50.7109375" customWidth="1"/>
    <col min="3" max="3" width="41.5703125" customWidth="1"/>
    <col min="4" max="4" width="37.140625" customWidth="1"/>
  </cols>
  <sheetData>
    <row r="1" spans="1:4" x14ac:dyDescent="0.25">
      <c r="A1" s="21" t="s">
        <v>205</v>
      </c>
      <c r="B1" s="12" t="s">
        <v>19</v>
      </c>
      <c r="C1" s="12" t="s">
        <v>22</v>
      </c>
      <c r="D1" s="37" t="s">
        <v>52</v>
      </c>
    </row>
    <row r="2" spans="1:4" hidden="1" x14ac:dyDescent="0.25">
      <c r="A2" s="29" t="s">
        <v>211</v>
      </c>
      <c r="B2" s="32" t="s">
        <v>344</v>
      </c>
      <c r="C2" s="32" t="s">
        <v>373</v>
      </c>
      <c r="D2" s="38" t="str">
        <f>VLOOKUP(Контракты[[#This Row],[Клиент]],Клиенты[#All],2,FALSE)</f>
        <v>Коваленко Наталья Алексеевна</v>
      </c>
    </row>
    <row r="3" spans="1:4" hidden="1" x14ac:dyDescent="0.25">
      <c r="A3" s="29" t="s">
        <v>211</v>
      </c>
      <c r="B3" s="32" t="s">
        <v>344</v>
      </c>
      <c r="C3" s="32" t="s">
        <v>374</v>
      </c>
      <c r="D3" s="38" t="str">
        <f>VLOOKUP(Контракты[[#This Row],[Клиент]],Клиенты[#All],2,FALSE)</f>
        <v>Коваленко Наталья Алексеевна</v>
      </c>
    </row>
    <row r="4" spans="1:4" hidden="1" x14ac:dyDescent="0.25">
      <c r="A4" s="29" t="s">
        <v>211</v>
      </c>
      <c r="B4" s="32" t="s">
        <v>344</v>
      </c>
      <c r="C4" s="80" t="s">
        <v>360</v>
      </c>
      <c r="D4" s="81" t="str">
        <f>VLOOKUP(Контракты[[#This Row],[Клиент]],Клиенты[#All],2,FALSE)</f>
        <v>Коваленко Наталья Алексеевна</v>
      </c>
    </row>
    <row r="5" spans="1:4" hidden="1" x14ac:dyDescent="0.25">
      <c r="A5" s="54" t="s">
        <v>206</v>
      </c>
      <c r="B5" s="55" t="s">
        <v>592</v>
      </c>
      <c r="C5" s="55" t="s">
        <v>606</v>
      </c>
      <c r="D5" s="56" t="str">
        <f>VLOOKUP(Контракты[[#This Row],[Клиент]],Клиенты[#All],2,FALSE)</f>
        <v>Мусаев Мурад Исмаилович</v>
      </c>
    </row>
    <row r="6" spans="1:4" hidden="1" x14ac:dyDescent="0.25">
      <c r="A6" s="29" t="s">
        <v>206</v>
      </c>
      <c r="B6" s="24" t="s">
        <v>64</v>
      </c>
      <c r="C6" s="24" t="s">
        <v>33</v>
      </c>
      <c r="D6" s="38" t="str">
        <f>VLOOKUP(Контракты[[#This Row],[Клиент]],Клиенты[#All],2,FALSE)</f>
        <v>Мартюшов Андрей Евгеньевич</v>
      </c>
    </row>
    <row r="7" spans="1:4" hidden="1" x14ac:dyDescent="0.25">
      <c r="A7" s="29" t="s">
        <v>206</v>
      </c>
      <c r="B7" s="24" t="s">
        <v>80</v>
      </c>
      <c r="C7" s="24" t="s">
        <v>31</v>
      </c>
      <c r="D7" s="38" t="str">
        <f>VLOOKUP(Контракты[[#This Row],[Клиент]],Клиенты[#All],2,FALSE)</f>
        <v>Кузнецов Евгений Олегович</v>
      </c>
    </row>
    <row r="8" spans="1:4" hidden="1" x14ac:dyDescent="0.25">
      <c r="A8" s="29" t="s">
        <v>206</v>
      </c>
      <c r="B8" s="24" t="s">
        <v>81</v>
      </c>
      <c r="C8" s="24" t="s">
        <v>31</v>
      </c>
      <c r="D8" s="38" t="str">
        <f>VLOOKUP(Контракты[[#This Row],[Клиент]],Клиенты[#All],2,FALSE)</f>
        <v>Кузнецов Евгений Олегович</v>
      </c>
    </row>
    <row r="9" spans="1:4" x14ac:dyDescent="0.25">
      <c r="A9" s="114" t="s">
        <v>208</v>
      </c>
      <c r="B9" s="115" t="s">
        <v>691</v>
      </c>
      <c r="C9" s="115" t="s">
        <v>252</v>
      </c>
      <c r="D9" s="116" t="str">
        <f>VLOOKUP(Контракты[[#This Row],[Клиент]],Клиенты[#All],2,FALSE)</f>
        <v>Грызунов Роман Николаевич</v>
      </c>
    </row>
    <row r="10" spans="1:4" hidden="1" x14ac:dyDescent="0.25">
      <c r="A10" s="29" t="s">
        <v>206</v>
      </c>
      <c r="B10" s="24" t="s">
        <v>104</v>
      </c>
      <c r="C10" s="24" t="s">
        <v>34</v>
      </c>
      <c r="D10" s="38" t="str">
        <f>VLOOKUP(Контракты[[#This Row],[Клиент]],Клиенты[#All],2,FALSE)</f>
        <v>Кузнецов Евгений Олегович</v>
      </c>
    </row>
    <row r="11" spans="1:4" x14ac:dyDescent="0.25">
      <c r="A11" s="29" t="s">
        <v>208</v>
      </c>
      <c r="B11" s="32" t="s">
        <v>104</v>
      </c>
      <c r="C11" s="32" t="s">
        <v>268</v>
      </c>
      <c r="D11" s="38" t="str">
        <f>VLOOKUP(Контракты[[#This Row],[Клиент]],Клиенты[#All],2,FALSE)</f>
        <v>Кузнецов Евгений Олегович</v>
      </c>
    </row>
    <row r="12" spans="1:4" x14ac:dyDescent="0.25">
      <c r="A12" s="29" t="s">
        <v>208</v>
      </c>
      <c r="B12" s="32" t="s">
        <v>333</v>
      </c>
      <c r="C12" s="32" t="s">
        <v>263</v>
      </c>
      <c r="D12" s="38" t="str">
        <f>VLOOKUP(Контракты[[#This Row],[Клиент]],Клиенты[#All],2,FALSE)</f>
        <v>Грызунова Лариса Владимировна</v>
      </c>
    </row>
    <row r="13" spans="1:4" x14ac:dyDescent="0.25">
      <c r="A13" s="29" t="s">
        <v>208</v>
      </c>
      <c r="B13" s="32" t="s">
        <v>333</v>
      </c>
      <c r="C13" s="32" t="s">
        <v>265</v>
      </c>
      <c r="D13" s="38" t="str">
        <f>VLOOKUP(Контракты[[#This Row],[Клиент]],Клиенты[#All],2,FALSE)</f>
        <v>Грызунова Лариса Владимировна</v>
      </c>
    </row>
    <row r="14" spans="1:4" x14ac:dyDescent="0.25">
      <c r="A14" s="29" t="s">
        <v>208</v>
      </c>
      <c r="B14" s="32" t="s">
        <v>333</v>
      </c>
      <c r="C14" s="32" t="s">
        <v>267</v>
      </c>
      <c r="D14" s="38" t="str">
        <f>VLOOKUP(Контракты[[#This Row],[Клиент]],Клиенты[#All],2,FALSE)</f>
        <v>Грызунова Лариса Владимировна</v>
      </c>
    </row>
    <row r="15" spans="1:4" hidden="1" x14ac:dyDescent="0.25">
      <c r="A15" s="29" t="s">
        <v>211</v>
      </c>
      <c r="B15" s="32" t="s">
        <v>333</v>
      </c>
      <c r="C15" s="32" t="s">
        <v>480</v>
      </c>
      <c r="D15" s="38" t="str">
        <f>VLOOKUP(Контракты[[#This Row],[Клиент]],Клиенты[#All],2,FALSE)</f>
        <v>Грызунова Лариса Владимировна</v>
      </c>
    </row>
    <row r="16" spans="1:4" hidden="1" x14ac:dyDescent="0.25">
      <c r="A16" s="29" t="s">
        <v>211</v>
      </c>
      <c r="B16" s="32" t="s">
        <v>333</v>
      </c>
      <c r="C16" s="32" t="s">
        <v>482</v>
      </c>
      <c r="D16" s="38" t="str">
        <f>VLOOKUP(Контракты[[#This Row],[Клиент]],Клиенты[#All],2,FALSE)</f>
        <v>Грызунова Лариса Владимировна</v>
      </c>
    </row>
    <row r="17" spans="1:4" hidden="1" x14ac:dyDescent="0.25">
      <c r="A17" s="79" t="s">
        <v>211</v>
      </c>
      <c r="B17" s="80" t="s">
        <v>333</v>
      </c>
      <c r="C17" s="80" t="s">
        <v>361</v>
      </c>
      <c r="D17" s="81" t="str">
        <f>VLOOKUP(Контракты[[#This Row],[Клиент]],Клиенты[#All],2,FALSE)</f>
        <v>Грызунова Лариса Владимировна</v>
      </c>
    </row>
    <row r="18" spans="1:4" hidden="1" x14ac:dyDescent="0.25">
      <c r="A18" s="79" t="s">
        <v>211</v>
      </c>
      <c r="B18" s="80" t="s">
        <v>333</v>
      </c>
      <c r="C18" s="80" t="s">
        <v>368</v>
      </c>
      <c r="D18" s="81" t="str">
        <f>VLOOKUP(Контракты[[#This Row],[Клиент]],Клиенты[#All],2,FALSE)</f>
        <v>Грызунова Лариса Владимировна</v>
      </c>
    </row>
    <row r="19" spans="1:4" hidden="1" x14ac:dyDescent="0.25">
      <c r="A19" s="79" t="s">
        <v>211</v>
      </c>
      <c r="B19" s="80" t="s">
        <v>333</v>
      </c>
      <c r="C19" s="80" t="s">
        <v>369</v>
      </c>
      <c r="D19" s="81" t="str">
        <f>VLOOKUP(Контракты[[#This Row],[Клиент]],Клиенты[#All],2,FALSE)</f>
        <v>Грызунова Лариса Владимировна</v>
      </c>
    </row>
    <row r="20" spans="1:4" hidden="1" x14ac:dyDescent="0.25">
      <c r="A20" s="79" t="s">
        <v>211</v>
      </c>
      <c r="B20" s="80" t="s">
        <v>333</v>
      </c>
      <c r="C20" s="80" t="s">
        <v>381</v>
      </c>
      <c r="D20" s="81" t="str">
        <f>VLOOKUP(Контракты[[#This Row],[Клиент]],Клиенты[#All],2,FALSE)</f>
        <v>Грызунова Лариса Владимировна</v>
      </c>
    </row>
    <row r="21" spans="1:4" hidden="1" x14ac:dyDescent="0.25">
      <c r="A21" s="79" t="s">
        <v>211</v>
      </c>
      <c r="B21" s="80" t="s">
        <v>333</v>
      </c>
      <c r="C21" s="80" t="s">
        <v>382</v>
      </c>
      <c r="D21" s="81" t="str">
        <f>VLOOKUP(Контракты[[#This Row],[Клиент]],Клиенты[#All],2,FALSE)</f>
        <v>Грызунова Лариса Владимировна</v>
      </c>
    </row>
    <row r="22" spans="1:4" hidden="1" x14ac:dyDescent="0.25">
      <c r="A22" s="79" t="s">
        <v>211</v>
      </c>
      <c r="B22" s="80" t="s">
        <v>333</v>
      </c>
      <c r="C22" s="80" t="s">
        <v>383</v>
      </c>
      <c r="D22" s="81" t="str">
        <f>VLOOKUP(Контракты[[#This Row],[Клиент]],Клиенты[#All],2,FALSE)</f>
        <v>Грызунова Лариса Владимировна</v>
      </c>
    </row>
    <row r="23" spans="1:4" hidden="1" x14ac:dyDescent="0.25">
      <c r="A23" s="79" t="s">
        <v>211</v>
      </c>
      <c r="B23" s="80" t="s">
        <v>333</v>
      </c>
      <c r="C23" s="80" t="s">
        <v>385</v>
      </c>
      <c r="D23" s="81" t="str">
        <f>VLOOKUP(Контракты[[#This Row],[Клиент]],Клиенты[#All],2,FALSE)</f>
        <v>Грызунова Лариса Владимировна</v>
      </c>
    </row>
    <row r="24" spans="1:4" hidden="1" x14ac:dyDescent="0.25">
      <c r="A24" s="79" t="s">
        <v>211</v>
      </c>
      <c r="B24" s="80" t="s">
        <v>333</v>
      </c>
      <c r="C24" s="80" t="s">
        <v>384</v>
      </c>
      <c r="D24" s="81" t="str">
        <f>VLOOKUP(Контракты[[#This Row],[Клиент]],Клиенты[#All],2,FALSE)</f>
        <v>Грызунова Лариса Владимировна</v>
      </c>
    </row>
    <row r="25" spans="1:4" hidden="1" x14ac:dyDescent="0.25">
      <c r="A25" s="79" t="s">
        <v>211</v>
      </c>
      <c r="B25" s="80" t="s">
        <v>333</v>
      </c>
      <c r="C25" s="80" t="s">
        <v>479</v>
      </c>
      <c r="D25" s="81" t="str">
        <f>VLOOKUP(Контракты[[#This Row],[Клиент]],Клиенты[#All],2,FALSE)</f>
        <v>Грызунова Лариса Владимировна</v>
      </c>
    </row>
    <row r="26" spans="1:4" hidden="1" x14ac:dyDescent="0.25">
      <c r="A26" s="79" t="s">
        <v>211</v>
      </c>
      <c r="B26" s="80" t="s">
        <v>333</v>
      </c>
      <c r="C26" s="80" t="s">
        <v>481</v>
      </c>
      <c r="D26" s="81" t="str">
        <f>VLOOKUP(Контракты[[#This Row],[Клиент]],Клиенты[#All],2,FALSE)</f>
        <v>Грызунова Лариса Владимировна</v>
      </c>
    </row>
    <row r="27" spans="1:4" hidden="1" x14ac:dyDescent="0.25">
      <c r="A27" s="79" t="s">
        <v>211</v>
      </c>
      <c r="B27" s="80" t="s">
        <v>333</v>
      </c>
      <c r="C27" s="80" t="s">
        <v>402</v>
      </c>
      <c r="D27" s="81" t="str">
        <f>VLOOKUP(Контракты[[#This Row],[Клиент]],Клиенты[#All],2,FALSE)</f>
        <v>Грызунова Лариса Владимировна</v>
      </c>
    </row>
    <row r="28" spans="1:4" hidden="1" x14ac:dyDescent="0.25">
      <c r="A28" s="79" t="s">
        <v>211</v>
      </c>
      <c r="B28" s="80" t="s">
        <v>333</v>
      </c>
      <c r="C28" s="80" t="s">
        <v>404</v>
      </c>
      <c r="D28" s="81" t="str">
        <f>VLOOKUP(Контракты[[#This Row],[Клиент]],Клиенты[#All],2,FALSE)</f>
        <v>Грызунова Лариса Владимировна</v>
      </c>
    </row>
    <row r="29" spans="1:4" hidden="1" x14ac:dyDescent="0.25">
      <c r="A29" s="79" t="s">
        <v>211</v>
      </c>
      <c r="B29" s="80" t="s">
        <v>333</v>
      </c>
      <c r="C29" s="80" t="s">
        <v>428</v>
      </c>
      <c r="D29" s="81" t="str">
        <f>VLOOKUP(Контракты[[#This Row],[Клиент]],Клиенты[#All],2,FALSE)</f>
        <v>Грызунова Лариса Владимировна</v>
      </c>
    </row>
    <row r="30" spans="1:4" hidden="1" x14ac:dyDescent="0.25">
      <c r="A30" s="79" t="s">
        <v>211</v>
      </c>
      <c r="B30" s="80" t="s">
        <v>333</v>
      </c>
      <c r="C30" s="80" t="s">
        <v>447</v>
      </c>
      <c r="D30" s="81" t="str">
        <f>VLOOKUP(Контракты[[#This Row],[Клиент]],Клиенты[#All],2,FALSE)</f>
        <v>Грызунова Лариса Владимировна</v>
      </c>
    </row>
    <row r="31" spans="1:4" hidden="1" x14ac:dyDescent="0.25">
      <c r="A31" s="79" t="s">
        <v>211</v>
      </c>
      <c r="B31" s="80" t="s">
        <v>333</v>
      </c>
      <c r="C31" s="80" t="s">
        <v>442</v>
      </c>
      <c r="D31" s="81" t="str">
        <f>VLOOKUP(Контракты[[#This Row],[Клиент]],Клиенты[#All],2,FALSE)</f>
        <v>Грызунова Лариса Владимировна</v>
      </c>
    </row>
    <row r="32" spans="1:4" hidden="1" x14ac:dyDescent="0.25">
      <c r="A32" s="79" t="s">
        <v>211</v>
      </c>
      <c r="B32" s="80" t="s">
        <v>333</v>
      </c>
      <c r="C32" s="80" t="s">
        <v>350</v>
      </c>
      <c r="D32" s="81" t="str">
        <f>VLOOKUP(Контракты[[#This Row],[Клиент]],Клиенты[#All],2,FALSE)</f>
        <v>Грызунова Лариса Владимировна</v>
      </c>
    </row>
    <row r="33" spans="1:4" hidden="1" x14ac:dyDescent="0.25">
      <c r="A33" s="79" t="s">
        <v>211</v>
      </c>
      <c r="B33" s="80" t="s">
        <v>333</v>
      </c>
      <c r="C33" s="80" t="s">
        <v>418</v>
      </c>
      <c r="D33" s="81" t="str">
        <f>VLOOKUP(Контракты[[#This Row],[Клиент]],Клиенты[#All],2,FALSE)</f>
        <v>Грызунова Лариса Владимировна</v>
      </c>
    </row>
    <row r="34" spans="1:4" hidden="1" x14ac:dyDescent="0.25">
      <c r="A34" s="79" t="s">
        <v>211</v>
      </c>
      <c r="B34" s="80" t="s">
        <v>333</v>
      </c>
      <c r="C34" s="80" t="s">
        <v>419</v>
      </c>
      <c r="D34" s="81" t="str">
        <f>VLOOKUP(Контракты[[#This Row],[Клиент]],Клиенты[#All],2,FALSE)</f>
        <v>Грызунова Лариса Владимировна</v>
      </c>
    </row>
    <row r="35" spans="1:4" hidden="1" x14ac:dyDescent="0.25">
      <c r="A35" s="79" t="s">
        <v>211</v>
      </c>
      <c r="B35" s="80" t="s">
        <v>333</v>
      </c>
      <c r="C35" s="80" t="s">
        <v>431</v>
      </c>
      <c r="D35" s="81" t="str">
        <f>VLOOKUP(Контракты[[#This Row],[Клиент]],Клиенты[#All],2,FALSE)</f>
        <v>Грызунова Лариса Владимировна</v>
      </c>
    </row>
    <row r="36" spans="1:4" hidden="1" x14ac:dyDescent="0.25">
      <c r="A36" s="79" t="s">
        <v>211</v>
      </c>
      <c r="B36" s="80" t="s">
        <v>333</v>
      </c>
      <c r="C36" s="80" t="s">
        <v>434</v>
      </c>
      <c r="D36" s="81" t="str">
        <f>VLOOKUP(Контракты[[#This Row],[Клиент]],Клиенты[#All],2,FALSE)</f>
        <v>Грызунова Лариса Владимировна</v>
      </c>
    </row>
    <row r="37" spans="1:4" hidden="1" x14ac:dyDescent="0.25">
      <c r="A37" s="79" t="s">
        <v>211</v>
      </c>
      <c r="B37" s="80" t="s">
        <v>333</v>
      </c>
      <c r="C37" s="80" t="s">
        <v>651</v>
      </c>
      <c r="D37" s="81" t="str">
        <f>VLOOKUP(Контракты[[#This Row],[Клиент]],Клиенты[#All],2,FALSE)</f>
        <v>Грызунова Лариса Владимировна</v>
      </c>
    </row>
    <row r="38" spans="1:4" hidden="1" x14ac:dyDescent="0.25">
      <c r="A38" s="29" t="s">
        <v>206</v>
      </c>
      <c r="B38" s="24" t="s">
        <v>57</v>
      </c>
      <c r="C38" s="24" t="s">
        <v>670</v>
      </c>
      <c r="D38" s="38" t="str">
        <f>VLOOKUP(Контракты[[#This Row],[Клиент]],Клиенты[#All],2,FALSE)</f>
        <v>Кузнецов Евгений Олегович</v>
      </c>
    </row>
    <row r="39" spans="1:4" hidden="1" x14ac:dyDescent="0.25">
      <c r="A39" s="29" t="s">
        <v>211</v>
      </c>
      <c r="B39" s="32" t="s">
        <v>57</v>
      </c>
      <c r="C39" s="32" t="s">
        <v>228</v>
      </c>
      <c r="D39" s="38" t="str">
        <f>VLOOKUP(Контракты[[#This Row],[Клиент]],Клиенты[#All],2,FALSE)</f>
        <v>Кузнецов Евгений Олегович</v>
      </c>
    </row>
    <row r="40" spans="1:4" hidden="1" x14ac:dyDescent="0.25">
      <c r="A40" s="29" t="s">
        <v>211</v>
      </c>
      <c r="B40" s="32" t="s">
        <v>458</v>
      </c>
      <c r="C40" s="32" t="s">
        <v>377</v>
      </c>
      <c r="D40" s="38" t="str">
        <f>VLOOKUP(Контракты[[#This Row],[Клиент]],Клиенты[#All],2,FALSE)</f>
        <v>Коваленко Наталья Алексеевна</v>
      </c>
    </row>
    <row r="41" spans="1:4" hidden="1" x14ac:dyDescent="0.25">
      <c r="A41" s="29" t="s">
        <v>211</v>
      </c>
      <c r="B41" s="32" t="s">
        <v>458</v>
      </c>
      <c r="C41" s="32" t="s">
        <v>381</v>
      </c>
      <c r="D41" s="38" t="str">
        <f>VLOOKUP(Контракты[[#This Row],[Клиент]],Клиенты[#All],2,FALSE)</f>
        <v>Коваленко Наталья Алексеевна</v>
      </c>
    </row>
    <row r="42" spans="1:4" hidden="1" x14ac:dyDescent="0.25">
      <c r="A42" s="54" t="s">
        <v>211</v>
      </c>
      <c r="B42" s="55" t="s">
        <v>458</v>
      </c>
      <c r="C42" s="55" t="s">
        <v>447</v>
      </c>
      <c r="D42" s="56" t="str">
        <f>VLOOKUP(Контракты[[#This Row],[Клиент]],Клиенты[#All],2,FALSE)</f>
        <v>Коваленко Наталья Алексеевна</v>
      </c>
    </row>
    <row r="43" spans="1:4" hidden="1" x14ac:dyDescent="0.25">
      <c r="A43" s="29" t="s">
        <v>206</v>
      </c>
      <c r="B43" s="24" t="s">
        <v>106</v>
      </c>
      <c r="C43" s="24" t="s">
        <v>670</v>
      </c>
      <c r="D43" s="38" t="str">
        <f>VLOOKUP(Контракты[[#This Row],[Клиент]],Клиенты[#All],2,FALSE)</f>
        <v>Кузнецов Евгений Олегович</v>
      </c>
    </row>
    <row r="44" spans="1:4" hidden="1" x14ac:dyDescent="0.25">
      <c r="A44" s="29" t="s">
        <v>206</v>
      </c>
      <c r="B44" s="24" t="s">
        <v>106</v>
      </c>
      <c r="C44" s="24" t="s">
        <v>24</v>
      </c>
      <c r="D44" s="38" t="str">
        <f>VLOOKUP(Контракты[[#This Row],[Клиент]],Клиенты[#All],2,FALSE)</f>
        <v>Кузнецов Евгений Олегович</v>
      </c>
    </row>
    <row r="45" spans="1:4" hidden="1" x14ac:dyDescent="0.25">
      <c r="A45" s="29" t="s">
        <v>206</v>
      </c>
      <c r="B45" s="24" t="s">
        <v>106</v>
      </c>
      <c r="C45" s="24" t="s">
        <v>34</v>
      </c>
      <c r="D45" s="38" t="str">
        <f>VLOOKUP(Контракты[[#This Row],[Клиент]],Клиенты[#All],2,FALSE)</f>
        <v>Кузнецов Евгений Олегович</v>
      </c>
    </row>
    <row r="46" spans="1:4" hidden="1" x14ac:dyDescent="0.25">
      <c r="A46" s="29" t="s">
        <v>211</v>
      </c>
      <c r="B46" s="32" t="s">
        <v>106</v>
      </c>
      <c r="C46" s="32" t="s">
        <v>404</v>
      </c>
      <c r="D46" s="38" t="str">
        <f>VLOOKUP(Контракты[[#This Row],[Клиент]],Клиенты[#All],2,FALSE)</f>
        <v>Кузнецов Евгений Олегович</v>
      </c>
    </row>
    <row r="47" spans="1:4" hidden="1" x14ac:dyDescent="0.25">
      <c r="A47" s="29" t="s">
        <v>211</v>
      </c>
      <c r="B47" s="32" t="s">
        <v>509</v>
      </c>
      <c r="C47" s="32" t="s">
        <v>428</v>
      </c>
      <c r="D47" s="38" t="str">
        <f>VLOOKUP(Контракты[[#This Row],[Клиент]],Клиенты[#All],2,FALSE)</f>
        <v>Кузнецов Евгений Олегович</v>
      </c>
    </row>
    <row r="48" spans="1:4" hidden="1" x14ac:dyDescent="0.25">
      <c r="A48" s="29" t="s">
        <v>211</v>
      </c>
      <c r="B48" s="32" t="s">
        <v>521</v>
      </c>
      <c r="C48" s="32" t="s">
        <v>349</v>
      </c>
      <c r="D48" s="38" t="str">
        <f>VLOOKUP(Контракты[[#This Row],[Клиент]],Клиенты[#All],2,FALSE)</f>
        <v>Мартюшов Андрей Евгеньевич</v>
      </c>
    </row>
    <row r="49" spans="1:4" hidden="1" x14ac:dyDescent="0.25">
      <c r="A49" s="54" t="s">
        <v>207</v>
      </c>
      <c r="B49" s="55" t="s">
        <v>229</v>
      </c>
      <c r="C49" s="55" t="s">
        <v>228</v>
      </c>
      <c r="D49" s="56" t="str">
        <f>VLOOKUP(Контракты[[#This Row],[Клиент]],Клиенты[#All],2,FALSE)</f>
        <v>Мусаев Мурад Исмаилович</v>
      </c>
    </row>
    <row r="50" spans="1:4" hidden="1" x14ac:dyDescent="0.25">
      <c r="A50" s="29" t="s">
        <v>206</v>
      </c>
      <c r="B50" s="24" t="s">
        <v>65</v>
      </c>
      <c r="C50" s="24" t="s">
        <v>23</v>
      </c>
      <c r="D50" s="38" t="str">
        <f>VLOOKUP(Контракты[[#This Row],[Клиент]],Клиенты[#All],2,FALSE)</f>
        <v>Федотов Алексей Николаевич</v>
      </c>
    </row>
    <row r="51" spans="1:4" hidden="1" x14ac:dyDescent="0.25">
      <c r="A51" s="29" t="s">
        <v>211</v>
      </c>
      <c r="B51" s="32" t="s">
        <v>65</v>
      </c>
      <c r="C51" s="32" t="s">
        <v>442</v>
      </c>
      <c r="D51" s="38" t="str">
        <f>VLOOKUP(Контракты[[#This Row],[Клиент]],Клиенты[#All],2,FALSE)</f>
        <v>Федотов Алексей Николаевич</v>
      </c>
    </row>
    <row r="52" spans="1:4" hidden="1" x14ac:dyDescent="0.25">
      <c r="A52" s="29" t="s">
        <v>211</v>
      </c>
      <c r="B52" s="32" t="s">
        <v>456</v>
      </c>
      <c r="C52" s="32" t="s">
        <v>375</v>
      </c>
      <c r="D52" s="38" t="str">
        <f>VLOOKUP(Контракты[[#This Row],[Клиент]],Клиенты[#All],2,FALSE)</f>
        <v>Коваленко Наталья Алексеевна</v>
      </c>
    </row>
    <row r="53" spans="1:4" hidden="1" x14ac:dyDescent="0.25">
      <c r="A53" s="29" t="s">
        <v>206</v>
      </c>
      <c r="B53" s="24" t="s">
        <v>78</v>
      </c>
      <c r="C53" s="24" t="s">
        <v>34</v>
      </c>
      <c r="D53" s="38" t="str">
        <f>VLOOKUP(Контракты[[#This Row],[Клиент]],Клиенты[#All],2,FALSE)</f>
        <v>Кузнецов Евгений Олегович</v>
      </c>
    </row>
    <row r="54" spans="1:4" x14ac:dyDescent="0.25">
      <c r="A54" s="29" t="s">
        <v>208</v>
      </c>
      <c r="B54" s="32" t="s">
        <v>333</v>
      </c>
      <c r="C54" s="32" t="s">
        <v>268</v>
      </c>
      <c r="D54" s="38" t="str">
        <f>VLOOKUP(Контракты[[#This Row],[Клиент]],Клиенты[#All],2,FALSE)</f>
        <v>Грызунова Лариса Владимировна</v>
      </c>
    </row>
    <row r="55" spans="1:4" x14ac:dyDescent="0.25">
      <c r="A55" s="29" t="s">
        <v>208</v>
      </c>
      <c r="B55" s="32" t="s">
        <v>331</v>
      </c>
      <c r="C55" s="32" t="s">
        <v>263</v>
      </c>
      <c r="D55" s="38" t="str">
        <f>VLOOKUP(Контракты[[#This Row],[Клиент]],Клиенты[#All],2,FALSE)</f>
        <v>Кузнецов Евгений Олегович</v>
      </c>
    </row>
    <row r="56" spans="1:4" x14ac:dyDescent="0.25">
      <c r="A56" s="29" t="s">
        <v>208</v>
      </c>
      <c r="B56" s="32" t="s">
        <v>331</v>
      </c>
      <c r="C56" s="32" t="s">
        <v>265</v>
      </c>
      <c r="D56" s="38" t="str">
        <f>VLOOKUP(Контракты[[#This Row],[Клиент]],Клиенты[#All],2,FALSE)</f>
        <v>Кузнецов Евгений Олегович</v>
      </c>
    </row>
    <row r="57" spans="1:4" x14ac:dyDescent="0.25">
      <c r="A57" s="29" t="s">
        <v>208</v>
      </c>
      <c r="B57" s="32" t="s">
        <v>108</v>
      </c>
      <c r="C57" s="32" t="s">
        <v>247</v>
      </c>
      <c r="D57" s="38" t="str">
        <f>VLOOKUP(Контракты[[#This Row],[Клиент]],Клиенты[#All],2,FALSE)</f>
        <v>Кролевецкий Денис Владимирович</v>
      </c>
    </row>
    <row r="58" spans="1:4" x14ac:dyDescent="0.25">
      <c r="A58" s="29" t="s">
        <v>208</v>
      </c>
      <c r="B58" s="32" t="s">
        <v>108</v>
      </c>
      <c r="C58" s="32" t="s">
        <v>253</v>
      </c>
      <c r="D58" s="38" t="str">
        <f>VLOOKUP(Контракты[[#This Row],[Клиент]],Клиенты[#All],2,FALSE)</f>
        <v>Кролевецкий Денис Владимирович</v>
      </c>
    </row>
    <row r="59" spans="1:4" hidden="1" x14ac:dyDescent="0.25">
      <c r="A59" s="29" t="s">
        <v>206</v>
      </c>
      <c r="B59" s="24" t="s">
        <v>108</v>
      </c>
      <c r="C59" s="24" t="s">
        <v>32</v>
      </c>
      <c r="D59" s="38" t="str">
        <f>VLOOKUP(Контракты[[#This Row],[Клиент]],Клиенты[#All],2,FALSE)</f>
        <v>Кролевецкий Денис Владимирович</v>
      </c>
    </row>
    <row r="60" spans="1:4" hidden="1" x14ac:dyDescent="0.25">
      <c r="A60" s="29" t="s">
        <v>206</v>
      </c>
      <c r="B60" s="24" t="s">
        <v>110</v>
      </c>
      <c r="C60" s="24" t="s">
        <v>33</v>
      </c>
      <c r="D60" s="38" t="str">
        <f>VLOOKUP(Контракты[[#This Row],[Клиент]],Клиенты[#All],2,FALSE)</f>
        <v>Кролевецкий Денис Владимирович</v>
      </c>
    </row>
    <row r="61" spans="1:4" hidden="1" x14ac:dyDescent="0.25">
      <c r="A61" s="29" t="s">
        <v>211</v>
      </c>
      <c r="B61" s="32" t="s">
        <v>110</v>
      </c>
      <c r="C61" s="32" t="s">
        <v>480</v>
      </c>
      <c r="D61" s="38" t="str">
        <f>VLOOKUP(Контракты[[#This Row],[Клиент]],Клиенты[#All],2,FALSE)</f>
        <v>Кролевецкий Денис Владимирович</v>
      </c>
    </row>
    <row r="62" spans="1:4" hidden="1" x14ac:dyDescent="0.25">
      <c r="A62" s="29" t="s">
        <v>211</v>
      </c>
      <c r="B62" s="32" t="s">
        <v>110</v>
      </c>
      <c r="C62" s="32" t="s">
        <v>396</v>
      </c>
      <c r="D62" s="38" t="str">
        <f>VLOOKUP(Контракты[[#This Row],[Клиент]],Клиенты[#All],2,FALSE)</f>
        <v>Кролевецкий Денис Владимирович</v>
      </c>
    </row>
    <row r="63" spans="1:4" hidden="1" x14ac:dyDescent="0.25">
      <c r="A63" s="29" t="s">
        <v>211</v>
      </c>
      <c r="B63" s="32" t="s">
        <v>110</v>
      </c>
      <c r="C63" s="32" t="s">
        <v>413</v>
      </c>
      <c r="D63" s="38" t="str">
        <f>VLOOKUP(Контракты[[#This Row],[Клиент]],Клиенты[#All],2,FALSE)</f>
        <v>Кролевецкий Денис Владимирович</v>
      </c>
    </row>
    <row r="64" spans="1:4" hidden="1" x14ac:dyDescent="0.25">
      <c r="A64" s="29" t="s">
        <v>211</v>
      </c>
      <c r="B64" s="32" t="s">
        <v>110</v>
      </c>
      <c r="C64" s="32" t="s">
        <v>416</v>
      </c>
      <c r="D64" s="38" t="str">
        <f>VLOOKUP(Контракты[[#This Row],[Клиент]],Клиенты[#All],2,FALSE)</f>
        <v>Кролевецкий Денис Владимирович</v>
      </c>
    </row>
    <row r="65" spans="1:4" hidden="1" x14ac:dyDescent="0.25">
      <c r="A65" s="54" t="s">
        <v>211</v>
      </c>
      <c r="B65" s="55" t="s">
        <v>590</v>
      </c>
      <c r="C65" s="55" t="s">
        <v>363</v>
      </c>
      <c r="D65" s="56" t="str">
        <f>VLOOKUP(Контракты[[#This Row],[Клиент]],Клиенты[#All],2,FALSE)</f>
        <v>Коваленко Наталья Алексеевна</v>
      </c>
    </row>
    <row r="66" spans="1:4" hidden="1" x14ac:dyDescent="0.25">
      <c r="A66" s="54" t="s">
        <v>211</v>
      </c>
      <c r="B66" s="55" t="s">
        <v>590</v>
      </c>
      <c r="C66" s="55" t="s">
        <v>479</v>
      </c>
      <c r="D66" s="56" t="str">
        <f>VLOOKUP(Контракты[[#This Row],[Клиент]],Клиенты[#All],2,FALSE)</f>
        <v>Коваленко Наталья Алексеевна</v>
      </c>
    </row>
    <row r="67" spans="1:4" hidden="1" x14ac:dyDescent="0.25">
      <c r="A67" s="79" t="s">
        <v>211</v>
      </c>
      <c r="B67" s="80" t="s">
        <v>659</v>
      </c>
      <c r="C67" s="80" t="s">
        <v>444</v>
      </c>
      <c r="D67" s="81" t="str">
        <f>VLOOKUP(Контракты[[#This Row],[Клиент]],Клиенты[#All],2,FALSE)</f>
        <v>Кролевецкий Денис Владимирович</v>
      </c>
    </row>
    <row r="68" spans="1:4" x14ac:dyDescent="0.25">
      <c r="A68" s="29" t="s">
        <v>208</v>
      </c>
      <c r="B68" s="32" t="s">
        <v>108</v>
      </c>
      <c r="C68" s="32" t="s">
        <v>254</v>
      </c>
      <c r="D68" s="38" t="str">
        <f>VLOOKUP(Контракты[[#This Row],[Клиент]],Клиенты[#All],2,FALSE)</f>
        <v>Кролевецкий Денис Владимирович</v>
      </c>
    </row>
    <row r="69" spans="1:4" x14ac:dyDescent="0.25">
      <c r="A69" s="29" t="s">
        <v>208</v>
      </c>
      <c r="B69" s="32" t="s">
        <v>271</v>
      </c>
      <c r="C69" s="32" t="s">
        <v>237</v>
      </c>
      <c r="D69" s="38" t="str">
        <f>VLOOKUP(Контракты[[#This Row],[Клиент]],Клиенты[#All],2,FALSE)</f>
        <v>Кузнецов Евгений Олегович</v>
      </c>
    </row>
    <row r="70" spans="1:4" x14ac:dyDescent="0.25">
      <c r="A70" s="29" t="s">
        <v>208</v>
      </c>
      <c r="B70" s="32" t="s">
        <v>271</v>
      </c>
      <c r="C70" s="32" t="s">
        <v>239</v>
      </c>
      <c r="D70" s="38" t="str">
        <f>VLOOKUP(Контракты[[#This Row],[Клиент]],Клиенты[#All],2,FALSE)</f>
        <v>Кузнецов Евгений Олегович</v>
      </c>
    </row>
    <row r="71" spans="1:4" x14ac:dyDescent="0.25">
      <c r="A71" s="29" t="s">
        <v>208</v>
      </c>
      <c r="B71" s="32" t="s">
        <v>271</v>
      </c>
      <c r="C71" s="32" t="s">
        <v>264</v>
      </c>
      <c r="D71" s="38" t="str">
        <f>VLOOKUP(Контракты[[#This Row],[Клиент]],Клиенты[#All],2,FALSE)</f>
        <v>Кузнецов Евгений Олегович</v>
      </c>
    </row>
    <row r="72" spans="1:4" x14ac:dyDescent="0.25">
      <c r="A72" s="29" t="s">
        <v>208</v>
      </c>
      <c r="B72" s="32" t="s">
        <v>271</v>
      </c>
      <c r="C72" s="32" t="s">
        <v>266</v>
      </c>
      <c r="D72" s="38" t="str">
        <f>VLOOKUP(Контракты[[#This Row],[Клиент]],Клиенты[#All],2,FALSE)</f>
        <v>Кузнецов Евгений Олегович</v>
      </c>
    </row>
    <row r="73" spans="1:4" x14ac:dyDescent="0.25">
      <c r="A73" s="29" t="s">
        <v>208</v>
      </c>
      <c r="B73" s="32" t="s">
        <v>286</v>
      </c>
      <c r="C73" s="32" t="s">
        <v>243</v>
      </c>
      <c r="D73" s="38" t="str">
        <f>VLOOKUP(Контракты[[#This Row],[Клиент]],Клиенты[#All],2,FALSE)</f>
        <v>Кролевецкий Денис Владимирович</v>
      </c>
    </row>
    <row r="74" spans="1:4" x14ac:dyDescent="0.25">
      <c r="A74" s="29" t="s">
        <v>208</v>
      </c>
      <c r="B74" s="32" t="s">
        <v>286</v>
      </c>
      <c r="C74" s="32" t="s">
        <v>260</v>
      </c>
      <c r="D74" s="38" t="str">
        <f>VLOOKUP(Контракты[[#This Row],[Клиент]],Клиенты[#All],2,FALSE)</f>
        <v>Кролевецкий Денис Владимирович</v>
      </c>
    </row>
    <row r="75" spans="1:4" hidden="1" x14ac:dyDescent="0.25">
      <c r="A75" s="29" t="s">
        <v>206</v>
      </c>
      <c r="B75" s="24" t="s">
        <v>7</v>
      </c>
      <c r="C75" s="24" t="s">
        <v>669</v>
      </c>
      <c r="D75" s="38" t="str">
        <f>VLOOKUP(Контракты[[#This Row],[Клиент]],Клиенты[#All],2,FALSE)</f>
        <v>Коваленко Наталья Алексеевна</v>
      </c>
    </row>
    <row r="76" spans="1:4" hidden="1" x14ac:dyDescent="0.25">
      <c r="A76" s="29" t="s">
        <v>206</v>
      </c>
      <c r="B76" s="24" t="s">
        <v>7</v>
      </c>
      <c r="C76" s="24" t="s">
        <v>23</v>
      </c>
      <c r="D76" s="38" t="str">
        <f>VLOOKUP(Контракты[[#This Row],[Клиент]],Клиенты[#All],2,FALSE)</f>
        <v>Коваленко Наталья Алексеевна</v>
      </c>
    </row>
    <row r="77" spans="1:4" hidden="1" x14ac:dyDescent="0.25">
      <c r="A77" s="29" t="s">
        <v>211</v>
      </c>
      <c r="B77" s="32" t="s">
        <v>7</v>
      </c>
      <c r="C77" s="32" t="s">
        <v>401</v>
      </c>
      <c r="D77" s="38" t="str">
        <f>VLOOKUP(Контракты[[#This Row],[Клиент]],Клиенты[#All],2,FALSE)</f>
        <v>Коваленко Наталья Алексеевна</v>
      </c>
    </row>
    <row r="78" spans="1:4" x14ac:dyDescent="0.25">
      <c r="A78" s="29" t="s">
        <v>208</v>
      </c>
      <c r="B78" s="32" t="s">
        <v>329</v>
      </c>
      <c r="C78" s="32" t="s">
        <v>263</v>
      </c>
      <c r="D78" s="38" t="str">
        <f>VLOOKUP(Контракты[[#This Row],[Клиент]],Клиенты[#All],2,FALSE)</f>
        <v>Мусаев Мурад Исмаилович</v>
      </c>
    </row>
    <row r="79" spans="1:4" x14ac:dyDescent="0.25">
      <c r="A79" s="29" t="s">
        <v>208</v>
      </c>
      <c r="B79" s="32" t="s">
        <v>334</v>
      </c>
      <c r="C79" s="32" t="s">
        <v>263</v>
      </c>
      <c r="D79" s="38" t="str">
        <f>VLOOKUP(Контракты[[#This Row],[Клиент]],Клиенты[#All],2,FALSE)</f>
        <v>Грызунова Лариса Владимировна</v>
      </c>
    </row>
    <row r="80" spans="1:4" x14ac:dyDescent="0.25">
      <c r="A80" s="29" t="s">
        <v>208</v>
      </c>
      <c r="B80" s="32" t="s">
        <v>334</v>
      </c>
      <c r="C80" s="32" t="s">
        <v>265</v>
      </c>
      <c r="D80" s="38" t="str">
        <f>VLOOKUP(Контракты[[#This Row],[Клиент]],Клиенты[#All],2,FALSE)</f>
        <v>Грызунова Лариса Владимировна</v>
      </c>
    </row>
    <row r="81" spans="1:4" x14ac:dyDescent="0.25">
      <c r="A81" s="29" t="s">
        <v>208</v>
      </c>
      <c r="B81" s="32" t="s">
        <v>334</v>
      </c>
      <c r="C81" s="32" t="s">
        <v>267</v>
      </c>
      <c r="D81" s="38" t="str">
        <f>VLOOKUP(Контракты[[#This Row],[Клиент]],Клиенты[#All],2,FALSE)</f>
        <v>Грызунова Лариса Владимировна</v>
      </c>
    </row>
    <row r="82" spans="1:4" hidden="1" x14ac:dyDescent="0.25">
      <c r="A82" s="29" t="s">
        <v>211</v>
      </c>
      <c r="B82" s="32" t="s">
        <v>334</v>
      </c>
      <c r="C82" s="32" t="s">
        <v>402</v>
      </c>
      <c r="D82" s="38" t="str">
        <f>VLOOKUP(Контракты[[#This Row],[Клиент]],Клиенты[#All],2,FALSE)</f>
        <v>Грызунова Лариса Владимировна</v>
      </c>
    </row>
    <row r="83" spans="1:4" hidden="1" x14ac:dyDescent="0.25">
      <c r="A83" s="29" t="s">
        <v>211</v>
      </c>
      <c r="B83" s="32" t="s">
        <v>334</v>
      </c>
      <c r="C83" s="32" t="s">
        <v>404</v>
      </c>
      <c r="D83" s="38" t="str">
        <f>VLOOKUP(Контракты[[#This Row],[Клиент]],Клиенты[#All],2,FALSE)</f>
        <v>Грызунова Лариса Владимировна</v>
      </c>
    </row>
    <row r="84" spans="1:4" hidden="1" x14ac:dyDescent="0.25">
      <c r="A84" s="29" t="s">
        <v>211</v>
      </c>
      <c r="B84" s="32" t="s">
        <v>334</v>
      </c>
      <c r="C84" s="32" t="s">
        <v>428</v>
      </c>
      <c r="D84" s="38" t="str">
        <f>VLOOKUP(Контракты[[#This Row],[Клиент]],Клиенты[#All],2,FALSE)</f>
        <v>Грызунова Лариса Владимировна</v>
      </c>
    </row>
    <row r="85" spans="1:4" hidden="1" x14ac:dyDescent="0.25">
      <c r="A85" s="29" t="s">
        <v>211</v>
      </c>
      <c r="B85" s="80" t="s">
        <v>645</v>
      </c>
      <c r="C85" s="80" t="s">
        <v>442</v>
      </c>
      <c r="D85" s="81" t="str">
        <f>VLOOKUP(Контракты[[#This Row],[Клиент]],Клиенты[#All],2,FALSE)</f>
        <v>Сидоров Павел Владимирович</v>
      </c>
    </row>
    <row r="86" spans="1:4" hidden="1" x14ac:dyDescent="0.25">
      <c r="A86" s="29" t="s">
        <v>211</v>
      </c>
      <c r="B86" s="32" t="s">
        <v>538</v>
      </c>
      <c r="C86" s="32" t="s">
        <v>445</v>
      </c>
      <c r="D86" s="38" t="str">
        <f>VLOOKUP(Контракты[[#This Row],[Клиент]],Клиенты[#All],2,FALSE)</f>
        <v>Кролевецкий Денис Владимирович</v>
      </c>
    </row>
    <row r="87" spans="1:4" hidden="1" x14ac:dyDescent="0.25">
      <c r="A87" s="29" t="s">
        <v>206</v>
      </c>
      <c r="B87" s="24" t="s">
        <v>66</v>
      </c>
      <c r="C87" s="24" t="s">
        <v>32</v>
      </c>
      <c r="D87" s="38" t="str">
        <f>VLOOKUP(Контракты[[#This Row],[Клиент]],Клиенты[#All],2,FALSE)</f>
        <v>Грызунов Роман Николаевич</v>
      </c>
    </row>
    <row r="88" spans="1:4" hidden="1" x14ac:dyDescent="0.25">
      <c r="A88" s="29" t="s">
        <v>206</v>
      </c>
      <c r="B88" s="24" t="s">
        <v>83</v>
      </c>
      <c r="C88" s="24" t="s">
        <v>31</v>
      </c>
      <c r="D88" s="38" t="str">
        <f>VLOOKUP(Контракты[[#This Row],[Клиент]],Клиенты[#All],2,FALSE)</f>
        <v>Кузнецов Евгений Олегович</v>
      </c>
    </row>
    <row r="89" spans="1:4" hidden="1" x14ac:dyDescent="0.25">
      <c r="A89" s="29" t="s">
        <v>206</v>
      </c>
      <c r="B89" s="24" t="s">
        <v>83</v>
      </c>
      <c r="C89" s="24" t="s">
        <v>34</v>
      </c>
      <c r="D89" s="38" t="str">
        <f>VLOOKUP(Контракты[[#This Row],[Клиент]],Клиенты[#All],2,FALSE)</f>
        <v>Кузнецов Евгений Олегович</v>
      </c>
    </row>
    <row r="90" spans="1:4" hidden="1" x14ac:dyDescent="0.25">
      <c r="A90" s="29" t="s">
        <v>206</v>
      </c>
      <c r="B90" s="24" t="s">
        <v>97</v>
      </c>
      <c r="C90" s="24" t="s">
        <v>23</v>
      </c>
      <c r="D90" s="38" t="str">
        <f>VLOOKUP(Контракты[[#This Row],[Клиент]],Клиенты[#All],2,FALSE)</f>
        <v>Федотов Алексей Николаевич</v>
      </c>
    </row>
    <row r="91" spans="1:4" hidden="1" x14ac:dyDescent="0.25">
      <c r="A91" s="29" t="s">
        <v>211</v>
      </c>
      <c r="B91" s="32" t="s">
        <v>97</v>
      </c>
      <c r="C91" s="32" t="s">
        <v>442</v>
      </c>
      <c r="D91" s="38" t="str">
        <f>VLOOKUP(Контракты[[#This Row],[Клиент]],Клиенты[#All],2,FALSE)</f>
        <v>Федотов Алексей Николаевич</v>
      </c>
    </row>
    <row r="92" spans="1:4" hidden="1" x14ac:dyDescent="0.25">
      <c r="A92" s="29" t="s">
        <v>206</v>
      </c>
      <c r="B92" s="23" t="s">
        <v>55</v>
      </c>
      <c r="C92" s="23" t="s">
        <v>23</v>
      </c>
      <c r="D92" s="38" t="str">
        <f>VLOOKUP(Контракты[[#This Row],[Клиент]],Клиенты[#All],2,FALSE)</f>
        <v>Федотов Алексей Николаевич</v>
      </c>
    </row>
    <row r="93" spans="1:4" hidden="1" x14ac:dyDescent="0.25">
      <c r="A93" s="29" t="s">
        <v>211</v>
      </c>
      <c r="B93" s="32" t="s">
        <v>55</v>
      </c>
      <c r="C93" s="32" t="s">
        <v>442</v>
      </c>
      <c r="D93" s="38" t="str">
        <f>VLOOKUP(Контракты[[#This Row],[Клиент]],Клиенты[#All],2,FALSE)</f>
        <v>Федотов Алексей Николаевич</v>
      </c>
    </row>
    <row r="94" spans="1:4" x14ac:dyDescent="0.25">
      <c r="A94" s="29" t="s">
        <v>208</v>
      </c>
      <c r="B94" s="32" t="s">
        <v>334</v>
      </c>
      <c r="C94" s="32" t="s">
        <v>268</v>
      </c>
      <c r="D94" s="38" t="str">
        <f>VLOOKUP(Контракты[[#This Row],[Клиент]],Клиенты[#All],2,FALSE)</f>
        <v>Грызунова Лариса Владимировна</v>
      </c>
    </row>
    <row r="95" spans="1:4" x14ac:dyDescent="0.25">
      <c r="A95" s="29" t="s">
        <v>208</v>
      </c>
      <c r="B95" s="32" t="s">
        <v>310</v>
      </c>
      <c r="C95" s="32" t="s">
        <v>249</v>
      </c>
      <c r="D95" s="38" t="str">
        <f>VLOOKUP(Контракты[[#This Row],[Клиент]],Клиенты[#All],2,FALSE)</f>
        <v>Грызунов Роман Николаевич</v>
      </c>
    </row>
    <row r="96" spans="1:4" x14ac:dyDescent="0.25">
      <c r="A96" s="29" t="s">
        <v>208</v>
      </c>
      <c r="B96" s="32" t="s">
        <v>310</v>
      </c>
      <c r="C96" s="32" t="s">
        <v>250</v>
      </c>
      <c r="D96" s="38" t="str">
        <f>VLOOKUP(Контракты[[#This Row],[Клиент]],Клиенты[#All],2,FALSE)</f>
        <v>Грызунов Роман Николаевич</v>
      </c>
    </row>
    <row r="97" spans="1:4" x14ac:dyDescent="0.25">
      <c r="A97" s="29" t="s">
        <v>208</v>
      </c>
      <c r="B97" s="32" t="s">
        <v>310</v>
      </c>
      <c r="C97" s="32" t="s">
        <v>252</v>
      </c>
      <c r="D97" s="38" t="str">
        <f>VLOOKUP(Контракты[[#This Row],[Клиент]],Клиенты[#All],2,FALSE)</f>
        <v>Грызунов Роман Николаевич</v>
      </c>
    </row>
    <row r="98" spans="1:4" hidden="1" x14ac:dyDescent="0.25">
      <c r="A98" s="29" t="s">
        <v>211</v>
      </c>
      <c r="B98" s="32" t="s">
        <v>493</v>
      </c>
      <c r="C98" s="32" t="s">
        <v>426</v>
      </c>
      <c r="D98" s="38" t="str">
        <f>VLOOKUP(Контракты[[#This Row],[Клиент]],Клиенты[#All],2,FALSE)</f>
        <v>Мартюшов Андрей Евгеньевич</v>
      </c>
    </row>
    <row r="99" spans="1:4" x14ac:dyDescent="0.25">
      <c r="A99" s="29" t="s">
        <v>208</v>
      </c>
      <c r="B99" s="32" t="s">
        <v>547</v>
      </c>
      <c r="C99" s="32" t="s">
        <v>238</v>
      </c>
      <c r="D99" s="38" t="str">
        <f>VLOOKUP(Контракты[[#This Row],[Клиент]],Клиенты[#All],2,FALSE)</f>
        <v>Кролевецкий Денис Владимирович</v>
      </c>
    </row>
    <row r="100" spans="1:4" x14ac:dyDescent="0.25">
      <c r="A100" s="29" t="s">
        <v>208</v>
      </c>
      <c r="B100" s="32" t="s">
        <v>314</v>
      </c>
      <c r="C100" s="32" t="s">
        <v>236</v>
      </c>
      <c r="D100" s="38" t="str">
        <f>VLOOKUP(Контракты[[#This Row],[Клиент]],Клиенты[#All],2,FALSE)</f>
        <v>Грызунов Роман Николаевич</v>
      </c>
    </row>
    <row r="101" spans="1:4" hidden="1" x14ac:dyDescent="0.25">
      <c r="A101" s="29" t="s">
        <v>206</v>
      </c>
      <c r="B101" s="24" t="s">
        <v>111</v>
      </c>
      <c r="C101" s="24" t="s">
        <v>24</v>
      </c>
      <c r="D101" s="38" t="str">
        <f>VLOOKUP(Контракты[[#This Row],[Клиент]],Клиенты[#All],2,FALSE)</f>
        <v>Кузнецов Евгений Олегович</v>
      </c>
    </row>
    <row r="102" spans="1:4" hidden="1" x14ac:dyDescent="0.25">
      <c r="A102" s="29" t="s">
        <v>206</v>
      </c>
      <c r="B102" s="24" t="s">
        <v>678</v>
      </c>
      <c r="C102" s="24" t="s">
        <v>24</v>
      </c>
      <c r="D102" s="38" t="str">
        <f>VLOOKUP(Контракты[[#This Row],[Клиент]],Клиенты[#All],2,FALSE)</f>
        <v>Коваленко Наталья Алексеевна</v>
      </c>
    </row>
    <row r="103" spans="1:4" hidden="1" x14ac:dyDescent="0.25">
      <c r="A103" s="29" t="s">
        <v>206</v>
      </c>
      <c r="B103" s="24" t="s">
        <v>84</v>
      </c>
      <c r="C103" s="24" t="s">
        <v>670</v>
      </c>
      <c r="D103" s="38" t="str">
        <f>VLOOKUP(Контракты[[#This Row],[Клиент]],Клиенты[#All],2,FALSE)</f>
        <v>Кузнецов Евгений Олегович</v>
      </c>
    </row>
    <row r="104" spans="1:4" hidden="1" x14ac:dyDescent="0.25">
      <c r="A104" s="29" t="s">
        <v>206</v>
      </c>
      <c r="B104" s="24" t="s">
        <v>112</v>
      </c>
      <c r="C104" s="24" t="s">
        <v>58</v>
      </c>
      <c r="D104" s="38" t="str">
        <f>VLOOKUP(Контракты[[#This Row],[Клиент]],Клиенты[#All],2,FALSE)</f>
        <v>Кузнецов Евгений Олегович</v>
      </c>
    </row>
    <row r="105" spans="1:4" hidden="1" x14ac:dyDescent="0.25">
      <c r="A105" s="29" t="s">
        <v>206</v>
      </c>
      <c r="B105" s="23" t="s">
        <v>112</v>
      </c>
      <c r="C105" s="23" t="s">
        <v>34</v>
      </c>
      <c r="D105" s="53" t="str">
        <f>VLOOKUP(Контракты[[#This Row],[Клиент]],Клиенты[#All],2,FALSE)</f>
        <v>Кузнецов Евгений Олегович</v>
      </c>
    </row>
    <row r="106" spans="1:4" x14ac:dyDescent="0.25">
      <c r="A106" s="29" t="s">
        <v>208</v>
      </c>
      <c r="B106" s="32" t="s">
        <v>314</v>
      </c>
      <c r="C106" s="32" t="s">
        <v>557</v>
      </c>
      <c r="D106" s="38" t="str">
        <f>VLOOKUP(Контракты[[#This Row],[Клиент]],Клиенты[#All],2,FALSE)</f>
        <v>Грызунов Роман Николаевич</v>
      </c>
    </row>
    <row r="107" spans="1:4" hidden="1" x14ac:dyDescent="0.25">
      <c r="A107" s="54" t="s">
        <v>211</v>
      </c>
      <c r="B107" s="55" t="s">
        <v>602</v>
      </c>
      <c r="C107" s="55" t="s">
        <v>401</v>
      </c>
      <c r="D107" s="56" t="str">
        <f>VLOOKUP(Контракты[[#This Row],[Клиент]],Клиенты[#All],2,FALSE)</f>
        <v>Мусаев Мурад Исмаилович</v>
      </c>
    </row>
    <row r="108" spans="1:4" hidden="1" x14ac:dyDescent="0.25">
      <c r="A108" s="54" t="s">
        <v>211</v>
      </c>
      <c r="B108" s="55" t="s">
        <v>602</v>
      </c>
      <c r="C108" s="55" t="s">
        <v>402</v>
      </c>
      <c r="D108" s="56" t="str">
        <f>VLOOKUP(Контракты[[#This Row],[Клиент]],Клиенты[#All],2,FALSE)</f>
        <v>Мусаев Мурад Исмаилович</v>
      </c>
    </row>
    <row r="109" spans="1:4" hidden="1" x14ac:dyDescent="0.25">
      <c r="A109" s="79" t="s">
        <v>211</v>
      </c>
      <c r="B109" s="80" t="s">
        <v>657</v>
      </c>
      <c r="C109" s="80" t="s">
        <v>480</v>
      </c>
      <c r="D109" s="81" t="str">
        <f>VLOOKUP(Контракты[[#This Row],[Клиент]],Клиенты[#All],2,FALSE)</f>
        <v>Коваленко Наталья Алексеевна</v>
      </c>
    </row>
    <row r="110" spans="1:4" hidden="1" x14ac:dyDescent="0.25">
      <c r="A110" s="79" t="s">
        <v>211</v>
      </c>
      <c r="B110" s="80" t="s">
        <v>657</v>
      </c>
      <c r="C110" s="80" t="s">
        <v>482</v>
      </c>
      <c r="D110" s="81" t="str">
        <f>VLOOKUP(Контракты[[#This Row],[Клиент]],Клиенты[#All],2,FALSE)</f>
        <v>Коваленко Наталья Алексеевна</v>
      </c>
    </row>
    <row r="111" spans="1:4" hidden="1" x14ac:dyDescent="0.25">
      <c r="A111" s="79" t="s">
        <v>211</v>
      </c>
      <c r="B111" s="80" t="s">
        <v>657</v>
      </c>
      <c r="C111" s="80" t="s">
        <v>375</v>
      </c>
      <c r="D111" s="81" t="str">
        <f>VLOOKUP(Контракты[[#This Row],[Клиент]],Клиенты[#All],2,FALSE)</f>
        <v>Коваленко Наталья Алексеевна</v>
      </c>
    </row>
    <row r="112" spans="1:4" x14ac:dyDescent="0.25">
      <c r="A112" s="29" t="s">
        <v>208</v>
      </c>
      <c r="B112" s="32" t="s">
        <v>336</v>
      </c>
      <c r="C112" s="32" t="s">
        <v>263</v>
      </c>
      <c r="D112" s="38" t="str">
        <f>VLOOKUP(Контракты[[#This Row],[Клиент]],Клиенты[#All],2,FALSE)</f>
        <v>Коваленко Наталья Алексеевна</v>
      </c>
    </row>
    <row r="113" spans="1:4" hidden="1" x14ac:dyDescent="0.25">
      <c r="A113" s="29" t="s">
        <v>206</v>
      </c>
      <c r="B113" s="24" t="s">
        <v>114</v>
      </c>
      <c r="C113" s="24" t="s">
        <v>670</v>
      </c>
      <c r="D113" s="38" t="str">
        <f>VLOOKUP(Контракты[[#This Row],[Клиент]],Клиенты[#All],2,FALSE)</f>
        <v>Кузнецов Евгений Олегович</v>
      </c>
    </row>
    <row r="114" spans="1:4" x14ac:dyDescent="0.25">
      <c r="A114" s="29" t="s">
        <v>208</v>
      </c>
      <c r="B114" s="32" t="s">
        <v>549</v>
      </c>
      <c r="C114" s="32" t="s">
        <v>243</v>
      </c>
      <c r="D114" s="38" t="str">
        <f>VLOOKUP(Контракты[[#This Row],[Клиент]],Клиенты[#All],2,FALSE)</f>
        <v>Кролевецкий Денис Владимирович</v>
      </c>
    </row>
    <row r="115" spans="1:4" x14ac:dyDescent="0.25">
      <c r="A115" s="29" t="s">
        <v>208</v>
      </c>
      <c r="B115" s="32" t="s">
        <v>549</v>
      </c>
      <c r="C115" s="115" t="s">
        <v>246</v>
      </c>
      <c r="D115" s="116" t="str">
        <f>VLOOKUP(Контракты[[#This Row],[Клиент]],Клиенты[#All],2,FALSE)</f>
        <v>Кролевецкий Денис Владимирович</v>
      </c>
    </row>
    <row r="116" spans="1:4" x14ac:dyDescent="0.25">
      <c r="A116" s="29" t="s">
        <v>208</v>
      </c>
      <c r="B116" s="32" t="s">
        <v>302</v>
      </c>
      <c r="C116" s="32" t="s">
        <v>557</v>
      </c>
      <c r="D116" s="38" t="str">
        <f>VLOOKUP(Контракты[[#This Row],[Клиент]],Клиенты[#All],2,FALSE)</f>
        <v>Грызунов Роман Николаевич</v>
      </c>
    </row>
    <row r="117" spans="1:4" x14ac:dyDescent="0.25">
      <c r="A117" s="29" t="s">
        <v>208</v>
      </c>
      <c r="B117" s="32" t="s">
        <v>302</v>
      </c>
      <c r="C117" s="32" t="s">
        <v>249</v>
      </c>
      <c r="D117" s="38" t="str">
        <f>VLOOKUP(Контракты[[#This Row],[Клиент]],Клиенты[#All],2,FALSE)</f>
        <v>Грызунов Роман Николаевич</v>
      </c>
    </row>
    <row r="118" spans="1:4" hidden="1" x14ac:dyDescent="0.25">
      <c r="A118" s="29" t="s">
        <v>206</v>
      </c>
      <c r="B118" s="24" t="s">
        <v>116</v>
      </c>
      <c r="C118" s="24" t="s">
        <v>665</v>
      </c>
      <c r="D118" s="38" t="str">
        <f>VLOOKUP(Контракты[[#This Row],[Клиент]],Клиенты[#All],2,FALSE)</f>
        <v>Федотов Алексей Николаевич</v>
      </c>
    </row>
    <row r="119" spans="1:4" hidden="1" x14ac:dyDescent="0.25">
      <c r="A119" s="54" t="s">
        <v>211</v>
      </c>
      <c r="B119" s="55" t="s">
        <v>600</v>
      </c>
      <c r="C119" s="55" t="s">
        <v>396</v>
      </c>
      <c r="D119" s="56" t="str">
        <f>VLOOKUP(Контракты[[#This Row],[Клиент]],Клиенты[#All],2,FALSE)</f>
        <v>Мусаев Мурад Исмаилович</v>
      </c>
    </row>
    <row r="120" spans="1:4" hidden="1" x14ac:dyDescent="0.25">
      <c r="A120" s="29" t="s">
        <v>206</v>
      </c>
      <c r="B120" s="24" t="s">
        <v>3</v>
      </c>
      <c r="C120" s="23" t="s">
        <v>668</v>
      </c>
      <c r="D120" s="38" t="str">
        <f>VLOOKUP(Контракты[[#This Row],[Клиент]],Клиенты[#All],2,FALSE)</f>
        <v>Коваленко Наталья Алексеевна</v>
      </c>
    </row>
    <row r="121" spans="1:4" x14ac:dyDescent="0.25">
      <c r="A121" s="29" t="s">
        <v>208</v>
      </c>
      <c r="B121" s="32" t="s">
        <v>302</v>
      </c>
      <c r="C121" s="32" t="s">
        <v>252</v>
      </c>
      <c r="D121" s="38" t="str">
        <f>VLOOKUP(Контракты[[#This Row],[Клиент]],Клиенты[#All],2,FALSE)</f>
        <v>Грызунов Роман Николаевич</v>
      </c>
    </row>
    <row r="122" spans="1:4" hidden="1" x14ac:dyDescent="0.25">
      <c r="A122" s="29" t="s">
        <v>206</v>
      </c>
      <c r="B122" s="24" t="s">
        <v>165</v>
      </c>
      <c r="C122" s="24" t="s">
        <v>668</v>
      </c>
      <c r="D122" s="38" t="str">
        <f>VLOOKUP(Контракты[[#This Row],[Клиент]],Клиенты[#All],2,FALSE)</f>
        <v>Кузнецов Евгений Олегович</v>
      </c>
    </row>
    <row r="123" spans="1:4" hidden="1" x14ac:dyDescent="0.25">
      <c r="A123" s="29" t="s">
        <v>206</v>
      </c>
      <c r="B123" s="24" t="s">
        <v>121</v>
      </c>
      <c r="C123" s="24" t="s">
        <v>670</v>
      </c>
      <c r="D123" s="38" t="str">
        <f>VLOOKUP(Контракты[[#This Row],[Клиент]],Клиенты[#All],2,FALSE)</f>
        <v>Кузнецов Евгений Олегович</v>
      </c>
    </row>
    <row r="124" spans="1:4" hidden="1" x14ac:dyDescent="0.25">
      <c r="A124" s="29" t="s">
        <v>206</v>
      </c>
      <c r="B124" s="24" t="s">
        <v>121</v>
      </c>
      <c r="C124" s="24" t="s">
        <v>58</v>
      </c>
      <c r="D124" s="38" t="str">
        <f>VLOOKUP(Контракты[[#This Row],[Клиент]],Клиенты[#All],2,FALSE)</f>
        <v>Кузнецов Евгений Олегович</v>
      </c>
    </row>
    <row r="125" spans="1:4" hidden="1" x14ac:dyDescent="0.25">
      <c r="A125" s="29" t="s">
        <v>206</v>
      </c>
      <c r="B125" s="24" t="s">
        <v>121</v>
      </c>
      <c r="C125" s="24" t="s">
        <v>24</v>
      </c>
      <c r="D125" s="38" t="str">
        <f>VLOOKUP(Контракты[[#This Row],[Клиент]],Клиенты[#All],2,FALSE)</f>
        <v>Кузнецов Евгений Олегович</v>
      </c>
    </row>
    <row r="126" spans="1:4" hidden="1" x14ac:dyDescent="0.25">
      <c r="A126" s="29" t="s">
        <v>206</v>
      </c>
      <c r="B126" s="24" t="s">
        <v>121</v>
      </c>
      <c r="C126" s="24" t="s">
        <v>34</v>
      </c>
      <c r="D126" s="38" t="str">
        <f>VLOOKUP(Контракты[[#This Row],[Клиент]],Клиенты[#All],2,FALSE)</f>
        <v>Кузнецов Евгений Олегович</v>
      </c>
    </row>
    <row r="127" spans="1:4" hidden="1" x14ac:dyDescent="0.25">
      <c r="A127" s="54" t="s">
        <v>211</v>
      </c>
      <c r="B127" s="55" t="s">
        <v>580</v>
      </c>
      <c r="C127" s="55" t="s">
        <v>352</v>
      </c>
      <c r="D127" s="56" t="str">
        <f>VLOOKUP(Контракты[[#This Row],[Клиент]],Клиенты[#All],2,FALSE)</f>
        <v>Мартюшов Андрей Евгеньевич</v>
      </c>
    </row>
    <row r="128" spans="1:4" hidden="1" x14ac:dyDescent="0.25">
      <c r="A128" s="54" t="s">
        <v>211</v>
      </c>
      <c r="B128" s="55" t="s">
        <v>580</v>
      </c>
      <c r="C128" s="55" t="s">
        <v>357</v>
      </c>
      <c r="D128" s="56" t="str">
        <f>VLOOKUP(Контракты[[#This Row],[Клиент]],Клиенты[#All],2,FALSE)</f>
        <v>Мартюшов Андрей Евгеньевич</v>
      </c>
    </row>
    <row r="129" spans="1:4" hidden="1" x14ac:dyDescent="0.25">
      <c r="A129" s="54" t="s">
        <v>211</v>
      </c>
      <c r="B129" s="55" t="s">
        <v>580</v>
      </c>
      <c r="C129" s="55" t="s">
        <v>364</v>
      </c>
      <c r="D129" s="56" t="str">
        <f>VLOOKUP(Контракты[[#This Row],[Клиент]],Клиенты[#All],2,FALSE)</f>
        <v>Мартюшов Андрей Евгеньевич</v>
      </c>
    </row>
    <row r="130" spans="1:4" hidden="1" x14ac:dyDescent="0.25">
      <c r="A130" s="54" t="s">
        <v>211</v>
      </c>
      <c r="B130" s="55" t="s">
        <v>580</v>
      </c>
      <c r="C130" s="55" t="s">
        <v>370</v>
      </c>
      <c r="D130" s="56" t="str">
        <f>VLOOKUP(Контракты[[#This Row],[Клиент]],Клиенты[#All],2,FALSE)</f>
        <v>Мартюшов Андрей Евгеньевич</v>
      </c>
    </row>
    <row r="131" spans="1:4" hidden="1" x14ac:dyDescent="0.25">
      <c r="A131" s="54" t="s">
        <v>211</v>
      </c>
      <c r="B131" s="55" t="s">
        <v>580</v>
      </c>
      <c r="C131" s="55" t="s">
        <v>371</v>
      </c>
      <c r="D131" s="56" t="str">
        <f>VLOOKUP(Контракты[[#This Row],[Клиент]],Клиенты[#All],2,FALSE)</f>
        <v>Мартюшов Андрей Евгеньевич</v>
      </c>
    </row>
    <row r="132" spans="1:4" hidden="1" x14ac:dyDescent="0.25">
      <c r="A132" s="54" t="s">
        <v>211</v>
      </c>
      <c r="B132" s="55" t="s">
        <v>580</v>
      </c>
      <c r="C132" s="55" t="s">
        <v>582</v>
      </c>
      <c r="D132" s="56" t="str">
        <f>VLOOKUP(Контракты[[#This Row],[Клиент]],Клиенты[#All],2,FALSE)</f>
        <v>Мартюшов Андрей Евгеньевич</v>
      </c>
    </row>
    <row r="133" spans="1:4" hidden="1" x14ac:dyDescent="0.25">
      <c r="A133" s="54" t="s">
        <v>211</v>
      </c>
      <c r="B133" s="55" t="s">
        <v>580</v>
      </c>
      <c r="C133" s="55" t="s">
        <v>393</v>
      </c>
      <c r="D133" s="56" t="str">
        <f>VLOOKUP(Контракты[[#This Row],[Клиент]],Клиенты[#All],2,FALSE)</f>
        <v>Мартюшов Андрей Евгеньевич</v>
      </c>
    </row>
    <row r="134" spans="1:4" hidden="1" x14ac:dyDescent="0.25">
      <c r="A134" s="29" t="s">
        <v>211</v>
      </c>
      <c r="B134" s="32" t="s">
        <v>477</v>
      </c>
      <c r="C134" s="32" t="s">
        <v>479</v>
      </c>
      <c r="D134" s="38" t="str">
        <f>VLOOKUP(Контракты[[#This Row],[Клиент]],Клиенты[#All],2,FALSE)</f>
        <v>Коваленко Наталья Алексеевна</v>
      </c>
    </row>
    <row r="135" spans="1:4" hidden="1" x14ac:dyDescent="0.25">
      <c r="A135" s="29" t="s">
        <v>211</v>
      </c>
      <c r="B135" s="32" t="s">
        <v>477</v>
      </c>
      <c r="C135" s="32" t="s">
        <v>404</v>
      </c>
      <c r="D135" s="38" t="str">
        <f>VLOOKUP(Контракты[[#This Row],[Клиент]],Клиенты[#All],2,FALSE)</f>
        <v>Коваленко Наталья Алексеевна</v>
      </c>
    </row>
    <row r="136" spans="1:4" hidden="1" x14ac:dyDescent="0.25">
      <c r="A136" s="29" t="s">
        <v>211</v>
      </c>
      <c r="B136" s="32" t="s">
        <v>498</v>
      </c>
      <c r="C136" s="32" t="s">
        <v>402</v>
      </c>
      <c r="D136" s="38" t="str">
        <f>VLOOKUP(Контракты[[#This Row],[Клиент]],Клиенты[#All],2,FALSE)</f>
        <v>Грызунова Лариса Владимировна</v>
      </c>
    </row>
    <row r="137" spans="1:4" hidden="1" x14ac:dyDescent="0.25">
      <c r="A137" s="29" t="s">
        <v>211</v>
      </c>
      <c r="B137" s="32" t="s">
        <v>498</v>
      </c>
      <c r="C137" s="32" t="s">
        <v>404</v>
      </c>
      <c r="D137" s="38" t="str">
        <f>VLOOKUP(Контракты[[#This Row],[Клиент]],Клиенты[#All],2,FALSE)</f>
        <v>Грызунова Лариса Владимировна</v>
      </c>
    </row>
    <row r="138" spans="1:4" hidden="1" x14ac:dyDescent="0.25">
      <c r="A138" s="29" t="s">
        <v>211</v>
      </c>
      <c r="B138" s="32" t="s">
        <v>498</v>
      </c>
      <c r="C138" s="32" t="s">
        <v>428</v>
      </c>
      <c r="D138" s="38" t="str">
        <f>VLOOKUP(Контракты[[#This Row],[Клиент]],Клиенты[#All],2,FALSE)</f>
        <v>Грызунова Лариса Владимировна</v>
      </c>
    </row>
    <row r="139" spans="1:4" hidden="1" x14ac:dyDescent="0.25">
      <c r="A139" s="29" t="s">
        <v>206</v>
      </c>
      <c r="B139" s="80" t="s">
        <v>649</v>
      </c>
      <c r="C139" s="80" t="s">
        <v>33</v>
      </c>
      <c r="D139" s="81" t="str">
        <f>VLOOKUP(Контракты[[#This Row],[Клиент]],Клиенты[#All],2,FALSE)</f>
        <v>Мартюшов Андрей Евгеньевич</v>
      </c>
    </row>
    <row r="140" spans="1:4" hidden="1" x14ac:dyDescent="0.25">
      <c r="A140" s="29" t="s">
        <v>206</v>
      </c>
      <c r="B140" s="24" t="s">
        <v>123</v>
      </c>
      <c r="C140" s="24" t="s">
        <v>33</v>
      </c>
      <c r="D140" s="38" t="str">
        <f>VLOOKUP(Контракты[[#This Row],[Клиент]],Клиенты[#All],2,FALSE)</f>
        <v>Мартюшов Андрей Евгеньевич</v>
      </c>
    </row>
    <row r="141" spans="1:4" hidden="1" x14ac:dyDescent="0.25">
      <c r="A141" s="78" t="s">
        <v>211</v>
      </c>
      <c r="B141" s="69" t="s">
        <v>639</v>
      </c>
      <c r="C141" s="69" t="s">
        <v>407</v>
      </c>
      <c r="D141" s="70" t="str">
        <f>VLOOKUP(Контракты[[#This Row],[Клиент]],Клиенты[#All],2,FALSE)</f>
        <v>Галичкин Владимир Николаевич</v>
      </c>
    </row>
    <row r="142" spans="1:4" x14ac:dyDescent="0.25">
      <c r="A142" s="114" t="s">
        <v>211</v>
      </c>
      <c r="B142" s="115" t="s">
        <v>697</v>
      </c>
      <c r="C142" s="115" t="s">
        <v>436</v>
      </c>
      <c r="D142" s="116" t="str">
        <f>VLOOKUP(Контракты[[#This Row],[Клиент]],Клиенты[#All],2,FALSE)</f>
        <v>Галичкин Владимир Николаевич</v>
      </c>
    </row>
    <row r="143" spans="1:4" x14ac:dyDescent="0.25">
      <c r="A143" s="29" t="s">
        <v>208</v>
      </c>
      <c r="B143" s="32" t="s">
        <v>555</v>
      </c>
      <c r="C143" s="32" t="s">
        <v>243</v>
      </c>
      <c r="D143" s="38" t="str">
        <f>VLOOKUP(Контракты[[#This Row],[Клиент]],Клиенты[#All],2,FALSE)</f>
        <v>Кролевецкий Денис Владимирович</v>
      </c>
    </row>
    <row r="144" spans="1:4" x14ac:dyDescent="0.25">
      <c r="A144" s="29" t="s">
        <v>208</v>
      </c>
      <c r="B144" s="32" t="s">
        <v>62</v>
      </c>
      <c r="C144" s="32" t="s">
        <v>263</v>
      </c>
      <c r="D144" s="38" t="str">
        <f>VLOOKUP(Контракты[[#This Row],[Клиент]],Клиенты[#All],2,FALSE)</f>
        <v>Кузнецов Евгений Олегович</v>
      </c>
    </row>
    <row r="145" spans="1:4" hidden="1" x14ac:dyDescent="0.25">
      <c r="A145" s="29" t="s">
        <v>206</v>
      </c>
      <c r="B145" s="24" t="s">
        <v>62</v>
      </c>
      <c r="C145" s="24" t="s">
        <v>670</v>
      </c>
      <c r="D145" s="38" t="str">
        <f>VLOOKUP(Контракты[[#This Row],[Клиент]],Клиенты[#All],2,FALSE)</f>
        <v>Кузнецов Евгений Олегович</v>
      </c>
    </row>
    <row r="146" spans="1:4" hidden="1" x14ac:dyDescent="0.25">
      <c r="A146" s="29" t="s">
        <v>206</v>
      </c>
      <c r="B146" s="24" t="s">
        <v>62</v>
      </c>
      <c r="C146" s="24" t="s">
        <v>24</v>
      </c>
      <c r="D146" s="38" t="str">
        <f>VLOOKUP(Контракты[[#This Row],[Клиент]],Клиенты[#All],2,FALSE)</f>
        <v>Кузнецов Евгений Олегович</v>
      </c>
    </row>
    <row r="147" spans="1:4" hidden="1" x14ac:dyDescent="0.25">
      <c r="A147" s="54" t="s">
        <v>211</v>
      </c>
      <c r="B147" s="55" t="s">
        <v>583</v>
      </c>
      <c r="C147" s="55" t="s">
        <v>390</v>
      </c>
      <c r="D147" s="56" t="str">
        <f>VLOOKUP(Контракты[[#This Row],[Клиент]],Клиенты[#All],2,FALSE)</f>
        <v>Мартюшов Андрей Евгеньевич</v>
      </c>
    </row>
    <row r="148" spans="1:4" hidden="1" x14ac:dyDescent="0.25">
      <c r="A148" s="54" t="s">
        <v>211</v>
      </c>
      <c r="B148" s="55" t="s">
        <v>583</v>
      </c>
      <c r="C148" s="55" t="s">
        <v>391</v>
      </c>
      <c r="D148" s="56" t="str">
        <f>VLOOKUP(Контракты[[#This Row],[Клиент]],Клиенты[#All],2,FALSE)</f>
        <v>Мартюшов Андрей Евгеньевич</v>
      </c>
    </row>
    <row r="149" spans="1:4" x14ac:dyDescent="0.25">
      <c r="A149" s="29" t="s">
        <v>208</v>
      </c>
      <c r="B149" s="32" t="s">
        <v>62</v>
      </c>
      <c r="C149" s="32" t="s">
        <v>265</v>
      </c>
      <c r="D149" s="38" t="str">
        <f>VLOOKUP(Контракты[[#This Row],[Клиент]],Клиенты[#All],2,FALSE)</f>
        <v>Кузнецов Евгений Олегович</v>
      </c>
    </row>
    <row r="150" spans="1:4" hidden="1" x14ac:dyDescent="0.25">
      <c r="A150" s="29" t="s">
        <v>206</v>
      </c>
      <c r="B150" s="24" t="s">
        <v>125</v>
      </c>
      <c r="C150" s="24" t="s">
        <v>33</v>
      </c>
      <c r="D150" s="38" t="str">
        <f>VLOOKUP(Контракты[[#This Row],[Клиент]],Клиенты[#All],2,FALSE)</f>
        <v>Кролевецкий Денис Владимирович</v>
      </c>
    </row>
    <row r="151" spans="1:4" hidden="1" x14ac:dyDescent="0.25">
      <c r="A151" s="29" t="s">
        <v>211</v>
      </c>
      <c r="B151" s="32" t="s">
        <v>125</v>
      </c>
      <c r="C151" s="32" t="s">
        <v>487</v>
      </c>
      <c r="D151" s="38" t="str">
        <f>VLOOKUP(Контракты[[#This Row],[Клиент]],Клиенты[#All],2,FALSE)</f>
        <v>Кролевецкий Денис Владимирович</v>
      </c>
    </row>
    <row r="152" spans="1:4" hidden="1" x14ac:dyDescent="0.25">
      <c r="A152" s="29" t="s">
        <v>211</v>
      </c>
      <c r="B152" s="32" t="s">
        <v>125</v>
      </c>
      <c r="C152" s="32" t="s">
        <v>540</v>
      </c>
      <c r="D152" s="38" t="str">
        <f>VLOOKUP(Контракты[[#This Row],[Клиент]],Клиенты[#All],2,FALSE)</f>
        <v>Кролевецкий Денис Владимирович</v>
      </c>
    </row>
    <row r="153" spans="1:4" hidden="1" x14ac:dyDescent="0.25">
      <c r="A153" s="29" t="s">
        <v>211</v>
      </c>
      <c r="B153" s="32" t="s">
        <v>125</v>
      </c>
      <c r="C153" s="80" t="s">
        <v>406</v>
      </c>
      <c r="D153" s="81" t="str">
        <f>VLOOKUP(Контракты[[#This Row],[Клиент]],Клиенты[#All],2,FALSE)</f>
        <v>Кролевецкий Денис Владимирович</v>
      </c>
    </row>
    <row r="154" spans="1:4" hidden="1" x14ac:dyDescent="0.25">
      <c r="A154" s="29" t="s">
        <v>211</v>
      </c>
      <c r="B154" s="32" t="s">
        <v>125</v>
      </c>
      <c r="C154" s="80" t="s">
        <v>408</v>
      </c>
      <c r="D154" s="81" t="str">
        <f>VLOOKUP(Контракты[[#This Row],[Клиент]],Клиенты[#All],2,FALSE)</f>
        <v>Кролевецкий Денис Владимирович</v>
      </c>
    </row>
    <row r="155" spans="1:4" x14ac:dyDescent="0.25">
      <c r="A155" s="29" t="s">
        <v>208</v>
      </c>
      <c r="B155" s="32" t="s">
        <v>125</v>
      </c>
      <c r="C155" s="32" t="s">
        <v>234</v>
      </c>
      <c r="D155" s="38" t="str">
        <f>VLOOKUP(Контракты[[#This Row],[Клиент]],Клиенты[#All],2,FALSE)</f>
        <v>Кролевецкий Денис Владимирович</v>
      </c>
    </row>
    <row r="156" spans="1:4" hidden="1" x14ac:dyDescent="0.25">
      <c r="A156" s="29" t="s">
        <v>211</v>
      </c>
      <c r="B156" s="32" t="s">
        <v>524</v>
      </c>
      <c r="C156" s="32" t="s">
        <v>398</v>
      </c>
      <c r="D156" s="38" t="str">
        <f>VLOOKUP(Контракты[[#This Row],[Клиент]],Клиенты[#All],2,FALSE)</f>
        <v>Кролевецкий Денис Владимирович</v>
      </c>
    </row>
    <row r="157" spans="1:4" hidden="1" x14ac:dyDescent="0.25">
      <c r="A157" s="29" t="s">
        <v>211</v>
      </c>
      <c r="B157" s="32" t="s">
        <v>524</v>
      </c>
      <c r="C157" s="23" t="s">
        <v>353</v>
      </c>
      <c r="D157" s="70" t="str">
        <f>VLOOKUP(Контракты[[#This Row],[Клиент]],Клиенты[#All],2,FALSE)</f>
        <v>Кролевецкий Денис Владимирович</v>
      </c>
    </row>
    <row r="158" spans="1:4" hidden="1" x14ac:dyDescent="0.25">
      <c r="A158" s="29" t="s">
        <v>211</v>
      </c>
      <c r="B158" s="32" t="s">
        <v>524</v>
      </c>
      <c r="C158" s="32" t="s">
        <v>444</v>
      </c>
      <c r="D158" s="38" t="str">
        <f>VLOOKUP(Контракты[[#This Row],[Клиент]],Клиенты[#All],2,FALSE)</f>
        <v>Кролевецкий Денис Владимирович</v>
      </c>
    </row>
    <row r="159" spans="1:4" hidden="1" x14ac:dyDescent="0.25">
      <c r="A159" s="78" t="s">
        <v>211</v>
      </c>
      <c r="B159" s="69" t="s">
        <v>635</v>
      </c>
      <c r="C159" s="69" t="s">
        <v>396</v>
      </c>
      <c r="D159" s="70" t="str">
        <f>VLOOKUP(Контракты[[#This Row],[Клиент]],Клиенты[#All],2,FALSE)</f>
        <v>Кролевецкий Денис Владимирович</v>
      </c>
    </row>
    <row r="160" spans="1:4" hidden="1" x14ac:dyDescent="0.25">
      <c r="A160" s="78" t="s">
        <v>211</v>
      </c>
      <c r="B160" s="69" t="s">
        <v>635</v>
      </c>
      <c r="C160" s="69" t="s">
        <v>446</v>
      </c>
      <c r="D160" s="70" t="str">
        <f>VLOOKUP(Контракты[[#This Row],[Клиент]],Клиенты[#All],2,FALSE)</f>
        <v>Кролевецкий Денис Владимирович</v>
      </c>
    </row>
    <row r="161" spans="1:4" hidden="1" x14ac:dyDescent="0.25">
      <c r="A161" s="29" t="s">
        <v>211</v>
      </c>
      <c r="B161" s="69" t="s">
        <v>630</v>
      </c>
      <c r="C161" s="69" t="s">
        <v>540</v>
      </c>
      <c r="D161" s="70" t="str">
        <f>VLOOKUP(Контракты[[#This Row],[Клиент]],Клиенты[#All],2,FALSE)</f>
        <v>Галичкин Владимир Николаевич</v>
      </c>
    </row>
    <row r="162" spans="1:4" hidden="1" x14ac:dyDescent="0.25">
      <c r="A162" s="29" t="s">
        <v>211</v>
      </c>
      <c r="B162" s="69" t="s">
        <v>630</v>
      </c>
      <c r="C162" s="69" t="s">
        <v>396</v>
      </c>
      <c r="D162" s="70" t="str">
        <f>VLOOKUP(Контракты[[#This Row],[Клиент]],Клиенты[#All],2,FALSE)</f>
        <v>Галичкин Владимир Николаевич</v>
      </c>
    </row>
    <row r="163" spans="1:4" hidden="1" x14ac:dyDescent="0.25">
      <c r="A163" s="29" t="s">
        <v>206</v>
      </c>
      <c r="B163" s="24" t="s">
        <v>63</v>
      </c>
      <c r="C163" s="24" t="s">
        <v>24</v>
      </c>
      <c r="D163" s="38" t="str">
        <f>VLOOKUP(Контракты[[#This Row],[Клиент]],Клиенты[#All],2,FALSE)</f>
        <v>Кролевецкий Денис Владимирович</v>
      </c>
    </row>
    <row r="164" spans="1:4" hidden="1" x14ac:dyDescent="0.25">
      <c r="A164" s="79" t="s">
        <v>211</v>
      </c>
      <c r="B164" s="24" t="s">
        <v>63</v>
      </c>
      <c r="C164" s="80" t="s">
        <v>399</v>
      </c>
      <c r="D164" s="81" t="str">
        <f>VLOOKUP(Контракты[[#This Row],[Клиент]],Клиенты[#All],2,FALSE)</f>
        <v>Кролевецкий Денис Владимирович</v>
      </c>
    </row>
    <row r="165" spans="1:4" hidden="1" x14ac:dyDescent="0.25">
      <c r="A165" s="79" t="s">
        <v>211</v>
      </c>
      <c r="B165" s="23" t="s">
        <v>63</v>
      </c>
      <c r="C165" s="80" t="s">
        <v>409</v>
      </c>
      <c r="D165" s="81" t="str">
        <f>VLOOKUP(Контракты[[#This Row],[Клиент]],Клиенты[#All],2,FALSE)</f>
        <v>Кролевецкий Денис Владимирович</v>
      </c>
    </row>
    <row r="166" spans="1:4" hidden="1" x14ac:dyDescent="0.25">
      <c r="A166" s="79" t="s">
        <v>211</v>
      </c>
      <c r="B166" s="24" t="s">
        <v>63</v>
      </c>
      <c r="C166" s="80" t="s">
        <v>408</v>
      </c>
      <c r="D166" s="81" t="str">
        <f>VLOOKUP(Контракты[[#This Row],[Клиент]],Клиенты[#All],2,FALSE)</f>
        <v>Кролевецкий Денис Владимирович</v>
      </c>
    </row>
    <row r="167" spans="1:4" hidden="1" x14ac:dyDescent="0.25">
      <c r="A167" s="54" t="s">
        <v>211</v>
      </c>
      <c r="B167" s="55" t="s">
        <v>604</v>
      </c>
      <c r="C167" s="55" t="s">
        <v>402</v>
      </c>
      <c r="D167" s="56" t="str">
        <f>VLOOKUP(Контракты[[#This Row],[Клиент]],Клиенты[#All],2,FALSE)</f>
        <v>Мусаев Мурад Исмаилович</v>
      </c>
    </row>
    <row r="168" spans="1:4" hidden="1" x14ac:dyDescent="0.25">
      <c r="A168" s="54" t="s">
        <v>211</v>
      </c>
      <c r="B168" s="55" t="s">
        <v>604</v>
      </c>
      <c r="C168" s="55" t="s">
        <v>404</v>
      </c>
      <c r="D168" s="56" t="str">
        <f>VLOOKUP(Контракты[[#This Row],[Клиент]],Клиенты[#All],2,FALSE)</f>
        <v>Мусаев Мурад Исмаилович</v>
      </c>
    </row>
    <row r="169" spans="1:4" x14ac:dyDescent="0.25">
      <c r="A169" s="29" t="s">
        <v>208</v>
      </c>
      <c r="B169" s="32" t="s">
        <v>524</v>
      </c>
      <c r="C169" s="32" t="s">
        <v>244</v>
      </c>
      <c r="D169" s="38" t="str">
        <f>VLOOKUP(Контракты[[#This Row],[Клиент]],Клиенты[#All],2,FALSE)</f>
        <v>Кролевецкий Денис Владимирович</v>
      </c>
    </row>
    <row r="170" spans="1:4" x14ac:dyDescent="0.25">
      <c r="A170" s="29" t="s">
        <v>208</v>
      </c>
      <c r="B170" s="32" t="s">
        <v>296</v>
      </c>
      <c r="C170" s="32" t="s">
        <v>244</v>
      </c>
      <c r="D170" s="38" t="str">
        <f>VLOOKUP(Контракты[[#This Row],[Клиент]],Клиенты[#All],2,FALSE)</f>
        <v>Кролевецкий Денис Владимирович</v>
      </c>
    </row>
    <row r="171" spans="1:4" hidden="1" x14ac:dyDescent="0.25">
      <c r="A171" s="29" t="s">
        <v>211</v>
      </c>
      <c r="B171" s="32" t="s">
        <v>296</v>
      </c>
      <c r="C171" s="32" t="s">
        <v>413</v>
      </c>
      <c r="D171" s="38" t="str">
        <f>VLOOKUP(Контракты[[#This Row],[Клиент]],Клиенты[#All],2,FALSE)</f>
        <v>Кролевецкий Денис Владимирович</v>
      </c>
    </row>
    <row r="172" spans="1:4" hidden="1" x14ac:dyDescent="0.25">
      <c r="A172" s="29" t="s">
        <v>211</v>
      </c>
      <c r="B172" s="32" t="s">
        <v>296</v>
      </c>
      <c r="C172" s="32" t="s">
        <v>417</v>
      </c>
      <c r="D172" s="38" t="str">
        <f>VLOOKUP(Контракты[[#This Row],[Клиент]],Клиенты[#All],2,FALSE)</f>
        <v>Кролевецкий Денис Владимирович</v>
      </c>
    </row>
    <row r="173" spans="1:4" hidden="1" x14ac:dyDescent="0.25">
      <c r="A173" s="29" t="s">
        <v>211</v>
      </c>
      <c r="B173" s="32" t="s">
        <v>296</v>
      </c>
      <c r="C173" s="32" t="s">
        <v>429</v>
      </c>
      <c r="D173" s="38" t="str">
        <f>VLOOKUP(Контракты[[#This Row],[Клиент]],Клиенты[#All],2,FALSE)</f>
        <v>Кролевецкий Денис Владимирович</v>
      </c>
    </row>
    <row r="174" spans="1:4" hidden="1" x14ac:dyDescent="0.25">
      <c r="A174" s="29" t="s">
        <v>211</v>
      </c>
      <c r="B174" s="32" t="s">
        <v>296</v>
      </c>
      <c r="C174" s="32" t="s">
        <v>444</v>
      </c>
      <c r="D174" s="38" t="str">
        <f>VLOOKUP(Контракты[[#This Row],[Клиент]],Клиенты[#All],2,FALSE)</f>
        <v>Кролевецкий Денис Владимирович</v>
      </c>
    </row>
    <row r="175" spans="1:4" hidden="1" x14ac:dyDescent="0.25">
      <c r="A175" s="29" t="s">
        <v>211</v>
      </c>
      <c r="B175" s="32" t="s">
        <v>296</v>
      </c>
      <c r="C175" s="32" t="s">
        <v>446</v>
      </c>
      <c r="D175" s="38" t="str">
        <f>VLOOKUP(Контракты[[#This Row],[Клиент]],Клиенты[#All],2,FALSE)</f>
        <v>Кролевецкий Денис Владимирович</v>
      </c>
    </row>
    <row r="176" spans="1:4" hidden="1" x14ac:dyDescent="0.25">
      <c r="A176" s="29" t="s">
        <v>211</v>
      </c>
      <c r="B176" s="32" t="s">
        <v>528</v>
      </c>
      <c r="C176" s="32" t="s">
        <v>531</v>
      </c>
      <c r="D176" s="38" t="str">
        <f>VLOOKUP(Контракты[[#This Row],[Клиент]],Клиенты[#All],2,FALSE)</f>
        <v>Грызунов Роман Николаевич</v>
      </c>
    </row>
    <row r="177" spans="1:4" hidden="1" x14ac:dyDescent="0.25">
      <c r="A177" s="29" t="s">
        <v>206</v>
      </c>
      <c r="B177" s="24" t="s">
        <v>127</v>
      </c>
      <c r="C177" s="24" t="s">
        <v>24</v>
      </c>
      <c r="D177" s="38" t="str">
        <f>VLOOKUP(Контракты[[#This Row],[Клиент]],Клиенты[#All],2,FALSE)</f>
        <v>Кузнецов Евгений Олегович</v>
      </c>
    </row>
    <row r="178" spans="1:4" hidden="1" x14ac:dyDescent="0.25">
      <c r="A178" s="29" t="s">
        <v>206</v>
      </c>
      <c r="B178" s="24" t="s">
        <v>129</v>
      </c>
      <c r="C178" s="24" t="s">
        <v>33</v>
      </c>
      <c r="D178" s="38" t="str">
        <f>VLOOKUP(Контракты[[#This Row],[Клиент]],Клиенты[#All],2,FALSE)</f>
        <v>Кузнецов Евгений Олегович</v>
      </c>
    </row>
    <row r="179" spans="1:4" hidden="1" x14ac:dyDescent="0.25">
      <c r="A179" s="29" t="s">
        <v>211</v>
      </c>
      <c r="B179" s="80" t="s">
        <v>647</v>
      </c>
      <c r="C179" s="80" t="s">
        <v>440</v>
      </c>
      <c r="D179" s="81" t="str">
        <f>VLOOKUP(Контракты[[#This Row],[Клиент]],Клиенты[#All],2,FALSE)</f>
        <v>Кролевецкий Денис Владимирович</v>
      </c>
    </row>
    <row r="180" spans="1:4" hidden="1" x14ac:dyDescent="0.25">
      <c r="A180" s="29" t="s">
        <v>206</v>
      </c>
      <c r="B180" s="24" t="s">
        <v>130</v>
      </c>
      <c r="C180" s="24" t="s">
        <v>23</v>
      </c>
      <c r="D180" s="38" t="str">
        <f>VLOOKUP(Контракты[[#This Row],[Клиент]],Клиенты[#All],2,FALSE)</f>
        <v>Федотов Алексей Николаевич</v>
      </c>
    </row>
    <row r="181" spans="1:4" hidden="1" x14ac:dyDescent="0.25">
      <c r="A181" s="29" t="s">
        <v>206</v>
      </c>
      <c r="B181" s="24" t="s">
        <v>130</v>
      </c>
      <c r="C181" s="24" t="s">
        <v>33</v>
      </c>
      <c r="D181" s="38" t="str">
        <f>VLOOKUP(Контракты[[#This Row],[Клиент]],Клиенты[#All],2,FALSE)</f>
        <v>Федотов Алексей Николаевич</v>
      </c>
    </row>
    <row r="182" spans="1:4" x14ac:dyDescent="0.25">
      <c r="A182" s="29" t="s">
        <v>208</v>
      </c>
      <c r="B182" s="32" t="s">
        <v>296</v>
      </c>
      <c r="C182" s="32" t="s">
        <v>256</v>
      </c>
      <c r="D182" s="38" t="str">
        <f>VLOOKUP(Контракты[[#This Row],[Клиент]],Клиенты[#All],2,FALSE)</f>
        <v>Кролевецкий Денис Владимирович</v>
      </c>
    </row>
    <row r="183" spans="1:4" hidden="1" x14ac:dyDescent="0.25">
      <c r="A183" s="29" t="s">
        <v>211</v>
      </c>
      <c r="B183" s="32" t="s">
        <v>536</v>
      </c>
      <c r="C183" s="32" t="s">
        <v>446</v>
      </c>
      <c r="D183" s="38" t="str">
        <f>VLOOKUP(Контракты[[#This Row],[Клиент]],Клиенты[#All],2,FALSE)</f>
        <v>Кролевецкий Денис Владимирович</v>
      </c>
    </row>
    <row r="184" spans="1:4" hidden="1" x14ac:dyDescent="0.25">
      <c r="A184" s="29" t="s">
        <v>211</v>
      </c>
      <c r="B184" s="32" t="s">
        <v>536</v>
      </c>
      <c r="C184" s="23" t="s">
        <v>401</v>
      </c>
      <c r="D184" s="53" t="str">
        <f>VLOOKUP(Контракты[[#This Row],[Клиент]],Клиенты[#All],2,FALSE)</f>
        <v>Кролевецкий Денис Владимирович</v>
      </c>
    </row>
    <row r="185" spans="1:4" hidden="1" x14ac:dyDescent="0.25">
      <c r="A185" s="29" t="s">
        <v>211</v>
      </c>
      <c r="B185" s="32" t="s">
        <v>460</v>
      </c>
      <c r="C185" s="32" t="s">
        <v>368</v>
      </c>
      <c r="D185" s="38" t="str">
        <f>VLOOKUP(Контракты[[#This Row],[Клиент]],Клиенты[#All],2,FALSE)</f>
        <v>Коваленко Наталья Алексеевна</v>
      </c>
    </row>
    <row r="186" spans="1:4" hidden="1" x14ac:dyDescent="0.25">
      <c r="A186" s="29" t="s">
        <v>206</v>
      </c>
      <c r="B186" s="24" t="s">
        <v>132</v>
      </c>
      <c r="C186" s="24" t="s">
        <v>34</v>
      </c>
      <c r="D186" s="38" t="str">
        <f>VLOOKUP(Контракты[[#This Row],[Клиент]],Клиенты[#All],2,FALSE)</f>
        <v>Кузнецов Евгений Олегович</v>
      </c>
    </row>
    <row r="187" spans="1:4" hidden="1" x14ac:dyDescent="0.25">
      <c r="A187" s="29" t="s">
        <v>206</v>
      </c>
      <c r="B187" s="24" t="s">
        <v>86</v>
      </c>
      <c r="C187" s="24" t="s">
        <v>23</v>
      </c>
      <c r="D187" s="38" t="str">
        <f>VLOOKUP(Контракты[[#This Row],[Клиент]],Клиенты[#All],2,FALSE)</f>
        <v>Федотов Алексей Николаевич</v>
      </c>
    </row>
    <row r="188" spans="1:4" hidden="1" x14ac:dyDescent="0.25">
      <c r="A188" s="29" t="s">
        <v>207</v>
      </c>
      <c r="B188" s="32" t="s">
        <v>4</v>
      </c>
      <c r="C188" s="32" t="s">
        <v>228</v>
      </c>
      <c r="D188" s="38" t="str">
        <f>VLOOKUP(Контракты[[#This Row],[Клиент]],Клиенты[#All],2,FALSE)</f>
        <v>Кузнецов Евгений Олегович</v>
      </c>
    </row>
    <row r="189" spans="1:4" hidden="1" x14ac:dyDescent="0.25">
      <c r="A189" s="29" t="s">
        <v>206</v>
      </c>
      <c r="B189" s="24" t="s">
        <v>135</v>
      </c>
      <c r="C189" s="24" t="s">
        <v>34</v>
      </c>
      <c r="D189" s="38" t="str">
        <f>VLOOKUP(Контракты[[#This Row],[Клиент]],Клиенты[#All],2,FALSE)</f>
        <v>Кузнецов Евгений Олегович</v>
      </c>
    </row>
    <row r="190" spans="1:4" hidden="1" x14ac:dyDescent="0.25">
      <c r="A190" s="29" t="s">
        <v>206</v>
      </c>
      <c r="B190" s="24" t="s">
        <v>88</v>
      </c>
      <c r="C190" s="24" t="s">
        <v>23</v>
      </c>
      <c r="D190" s="38" t="str">
        <f>VLOOKUP(Контракты[[#This Row],[Клиент]],Клиенты[#All],2,FALSE)</f>
        <v>Федотов Алексей Николаевич</v>
      </c>
    </row>
    <row r="191" spans="1:4" hidden="1" x14ac:dyDescent="0.25">
      <c r="A191" s="29" t="s">
        <v>206</v>
      </c>
      <c r="B191" s="24" t="s">
        <v>90</v>
      </c>
      <c r="C191" s="24" t="s">
        <v>34</v>
      </c>
      <c r="D191" s="38" t="str">
        <f>VLOOKUP(Контракты[[#This Row],[Клиент]],Клиенты[#All],2,FALSE)</f>
        <v>Кузнецов Евгений Олегович</v>
      </c>
    </row>
    <row r="192" spans="1:4" hidden="1" x14ac:dyDescent="0.25">
      <c r="A192" s="79" t="s">
        <v>211</v>
      </c>
      <c r="B192" s="80" t="s">
        <v>653</v>
      </c>
      <c r="C192" s="80" t="s">
        <v>404</v>
      </c>
      <c r="D192" s="81" t="str">
        <f>VLOOKUP(Контракты[[#This Row],[Клиент]],Клиенты[#All],2,FALSE)</f>
        <v>Коваленко Наталья Алексеевна</v>
      </c>
    </row>
    <row r="193" spans="1:4" hidden="1" x14ac:dyDescent="0.25">
      <c r="A193" s="29" t="s">
        <v>206</v>
      </c>
      <c r="B193" s="24" t="s">
        <v>102</v>
      </c>
      <c r="C193" s="24" t="s">
        <v>670</v>
      </c>
      <c r="D193" s="38" t="str">
        <f>VLOOKUP(Контракты[[#This Row],[Клиент]],Клиенты[#All],2,FALSE)</f>
        <v>Кузнецов Евгений Олегович</v>
      </c>
    </row>
    <row r="194" spans="1:4" hidden="1" x14ac:dyDescent="0.25">
      <c r="A194" s="29" t="s">
        <v>211</v>
      </c>
      <c r="B194" s="32" t="s">
        <v>502</v>
      </c>
      <c r="C194" s="32" t="s">
        <v>403</v>
      </c>
      <c r="D194" s="38" t="str">
        <f>VLOOKUP(Контракты[[#This Row],[Клиент]],Клиенты[#All],2,FALSE)</f>
        <v>Кролевецкий Денис Владимирович</v>
      </c>
    </row>
    <row r="195" spans="1:4" hidden="1" x14ac:dyDescent="0.25">
      <c r="A195" s="29" t="s">
        <v>211</v>
      </c>
      <c r="B195" s="32" t="s">
        <v>502</v>
      </c>
      <c r="C195" s="32" t="s">
        <v>441</v>
      </c>
      <c r="D195" s="38" t="str">
        <f>VLOOKUP(Контракты[[#This Row],[Клиент]],Клиенты[#All],2,FALSE)</f>
        <v>Кролевецкий Денис Владимирович</v>
      </c>
    </row>
    <row r="196" spans="1:4" hidden="1" x14ac:dyDescent="0.25">
      <c r="A196" s="29" t="s">
        <v>211</v>
      </c>
      <c r="B196" s="32" t="s">
        <v>469</v>
      </c>
      <c r="C196" s="32" t="s">
        <v>406</v>
      </c>
      <c r="D196" s="38" t="str">
        <f>VLOOKUP(Контракты[[#This Row],[Клиент]],Клиенты[#All],2,FALSE)</f>
        <v>Галичкин Владимир Николаевич</v>
      </c>
    </row>
    <row r="197" spans="1:4" x14ac:dyDescent="0.25">
      <c r="A197" s="29" t="s">
        <v>208</v>
      </c>
      <c r="B197" s="32" t="s">
        <v>536</v>
      </c>
      <c r="C197" s="32" t="s">
        <v>238</v>
      </c>
      <c r="D197" s="38" t="str">
        <f>VLOOKUP(Контракты[[#This Row],[Клиент]],Клиенты[#All],2,FALSE)</f>
        <v>Кролевецкий Денис Владимирович</v>
      </c>
    </row>
    <row r="198" spans="1:4" hidden="1" x14ac:dyDescent="0.25">
      <c r="A198" s="29" t="s">
        <v>211</v>
      </c>
      <c r="B198" s="32" t="s">
        <v>543</v>
      </c>
      <c r="C198" s="32" t="s">
        <v>446</v>
      </c>
      <c r="D198" s="38" t="str">
        <f>VLOOKUP(Контракты[[#This Row],[Клиент]],Клиенты[#All],2,FALSE)</f>
        <v>Кролевецкий Денис Владимирович</v>
      </c>
    </row>
    <row r="199" spans="1:4" x14ac:dyDescent="0.25">
      <c r="A199" s="29" t="s">
        <v>208</v>
      </c>
      <c r="B199" s="32" t="s">
        <v>316</v>
      </c>
      <c r="C199" s="32" t="s">
        <v>258</v>
      </c>
      <c r="D199" s="38" t="str">
        <f>VLOOKUP(Контракты[[#This Row],[Клиент]],Клиенты[#All],2,FALSE)</f>
        <v>Кузнецов Евгений Олегович</v>
      </c>
    </row>
    <row r="200" spans="1:4" hidden="1" x14ac:dyDescent="0.25">
      <c r="A200" s="78" t="s">
        <v>211</v>
      </c>
      <c r="B200" s="69" t="s">
        <v>304</v>
      </c>
      <c r="C200" s="69" t="s">
        <v>358</v>
      </c>
      <c r="D200" s="70" t="str">
        <f>VLOOKUP(Контракты[[#This Row],[Клиент]],Клиенты[#All],2,FALSE)</f>
        <v>Грызунов Роман Николаевич</v>
      </c>
    </row>
    <row r="201" spans="1:4" hidden="1" x14ac:dyDescent="0.25">
      <c r="A201" s="78" t="s">
        <v>211</v>
      </c>
      <c r="B201" s="69" t="s">
        <v>304</v>
      </c>
      <c r="C201" s="69" t="s">
        <v>362</v>
      </c>
      <c r="D201" s="70" t="str">
        <f>VLOOKUP(Контракты[[#This Row],[Клиент]],Клиенты[#All],2,FALSE)</f>
        <v>Грызунов Роман Николаевич</v>
      </c>
    </row>
    <row r="202" spans="1:4" hidden="1" x14ac:dyDescent="0.25">
      <c r="A202" s="29" t="s">
        <v>211</v>
      </c>
      <c r="B202" s="32" t="s">
        <v>306</v>
      </c>
      <c r="C202" s="32" t="s">
        <v>358</v>
      </c>
      <c r="D202" s="38" t="str">
        <f>VLOOKUP(Контракты[[#This Row],[Клиент]],Клиенты[#All],2,FALSE)</f>
        <v>Грызунов Роман Николаевич</v>
      </c>
    </row>
    <row r="203" spans="1:4" x14ac:dyDescent="0.25">
      <c r="A203" s="29" t="s">
        <v>208</v>
      </c>
      <c r="B203" s="32" t="s">
        <v>304</v>
      </c>
      <c r="C203" s="32" t="s">
        <v>249</v>
      </c>
      <c r="D203" s="38" t="str">
        <f>VLOOKUP(Контракты[[#This Row],[Клиент]],Клиенты[#All],2,FALSE)</f>
        <v>Грызунов Роман Николаевич</v>
      </c>
    </row>
    <row r="204" spans="1:4" x14ac:dyDescent="0.25">
      <c r="A204" s="29" t="s">
        <v>208</v>
      </c>
      <c r="B204" s="32" t="s">
        <v>342</v>
      </c>
      <c r="C204" s="32" t="s">
        <v>267</v>
      </c>
      <c r="D204" s="38" t="str">
        <f>VLOOKUP(Контракты[[#This Row],[Клиент]],Клиенты[#All],2,FALSE)</f>
        <v>Кузнецов Евгений Олегович</v>
      </c>
    </row>
    <row r="205" spans="1:4" hidden="1" x14ac:dyDescent="0.25">
      <c r="A205" s="29" t="s">
        <v>206</v>
      </c>
      <c r="B205" s="23" t="s">
        <v>54</v>
      </c>
      <c r="C205" s="23" t="s">
        <v>24</v>
      </c>
      <c r="D205" s="38" t="str">
        <f>VLOOKUP(Контракты[[#This Row],[Клиент]],Клиенты[#All],2,FALSE)</f>
        <v>Федотов Алексей Николаевич</v>
      </c>
    </row>
    <row r="206" spans="1:4" hidden="1" x14ac:dyDescent="0.25">
      <c r="A206" s="29" t="s">
        <v>206</v>
      </c>
      <c r="B206" s="23" t="s">
        <v>56</v>
      </c>
      <c r="C206" s="23" t="s">
        <v>24</v>
      </c>
      <c r="D206" s="38" t="str">
        <f>VLOOKUP(Контракты[[#This Row],[Клиент]],Клиенты[#All],2,FALSE)</f>
        <v>Кузнецов Евгений Олегович</v>
      </c>
    </row>
    <row r="207" spans="1:4" hidden="1" x14ac:dyDescent="0.25">
      <c r="A207" s="29" t="s">
        <v>206</v>
      </c>
      <c r="B207" s="23" t="s">
        <v>56</v>
      </c>
      <c r="C207" s="23" t="s">
        <v>34</v>
      </c>
      <c r="D207" s="38" t="str">
        <f>VLOOKUP(Контракты[[#This Row],[Клиент]],Клиенты[#All],2,FALSE)</f>
        <v>Кузнецов Евгений Олегович</v>
      </c>
    </row>
    <row r="208" spans="1:4" hidden="1" x14ac:dyDescent="0.25">
      <c r="A208" s="29" t="s">
        <v>206</v>
      </c>
      <c r="B208" s="24" t="s">
        <v>137</v>
      </c>
      <c r="C208" s="24" t="s">
        <v>34</v>
      </c>
      <c r="D208" s="38" t="str">
        <f>VLOOKUP(Контракты[[#This Row],[Клиент]],Клиенты[#All],2,FALSE)</f>
        <v>Кузнецов Евгений Олегович</v>
      </c>
    </row>
    <row r="209" spans="1:4" hidden="1" x14ac:dyDescent="0.25">
      <c r="A209" s="29" t="s">
        <v>211</v>
      </c>
      <c r="B209" s="32" t="s">
        <v>475</v>
      </c>
      <c r="C209" s="32" t="s">
        <v>381</v>
      </c>
      <c r="D209" s="38" t="str">
        <f>VLOOKUP(Контракты[[#This Row],[Клиент]],Клиенты[#All],2,FALSE)</f>
        <v>Коваленко Наталья Алексеевна</v>
      </c>
    </row>
    <row r="210" spans="1:4" hidden="1" x14ac:dyDescent="0.25">
      <c r="A210" s="29" t="s">
        <v>206</v>
      </c>
      <c r="B210" s="24" t="s">
        <v>139</v>
      </c>
      <c r="C210" s="24" t="s">
        <v>24</v>
      </c>
      <c r="D210" s="38" t="str">
        <f>VLOOKUP(Контракты[[#This Row],[Клиент]],Клиенты[#All],2,FALSE)</f>
        <v>Кузнецов Евгений Олегович</v>
      </c>
    </row>
    <row r="211" spans="1:4" x14ac:dyDescent="0.25">
      <c r="A211" s="29" t="s">
        <v>208</v>
      </c>
      <c r="B211" s="32" t="s">
        <v>342</v>
      </c>
      <c r="C211" s="32" t="s">
        <v>268</v>
      </c>
      <c r="D211" s="38" t="str">
        <f>VLOOKUP(Контракты[[#This Row],[Клиент]],Клиенты[#All],2,FALSE)</f>
        <v>Кузнецов Евгений Олегович</v>
      </c>
    </row>
    <row r="212" spans="1:4" x14ac:dyDescent="0.25">
      <c r="A212" s="29" t="s">
        <v>208</v>
      </c>
      <c r="B212" s="32" t="s">
        <v>327</v>
      </c>
      <c r="C212" s="32" t="s">
        <v>263</v>
      </c>
      <c r="D212" s="38" t="str">
        <f>VLOOKUP(Контракты[[#This Row],[Клиент]],Клиенты[#All],2,FALSE)</f>
        <v>Мусаев Мурад Исмаилович</v>
      </c>
    </row>
    <row r="213" spans="1:4" hidden="1" x14ac:dyDescent="0.25">
      <c r="A213" s="29" t="s">
        <v>206</v>
      </c>
      <c r="B213" s="24" t="s">
        <v>140</v>
      </c>
      <c r="C213" s="24" t="s">
        <v>24</v>
      </c>
      <c r="D213" s="38" t="str">
        <f>VLOOKUP(Контракты[[#This Row],[Клиент]],Клиенты[#All],2,FALSE)</f>
        <v>Кузнецов Евгений Олегович</v>
      </c>
    </row>
    <row r="214" spans="1:4" x14ac:dyDescent="0.25">
      <c r="A214" s="29" t="s">
        <v>208</v>
      </c>
      <c r="B214" s="32" t="s">
        <v>327</v>
      </c>
      <c r="C214" s="32" t="s">
        <v>265</v>
      </c>
      <c r="D214" s="38" t="str">
        <f>VLOOKUP(Контракты[[#This Row],[Клиент]],Клиенты[#All],2,FALSE)</f>
        <v>Мусаев Мурад Исмаилович</v>
      </c>
    </row>
    <row r="215" spans="1:4" x14ac:dyDescent="0.25">
      <c r="A215" s="114" t="s">
        <v>208</v>
      </c>
      <c r="B215" s="115" t="s">
        <v>694</v>
      </c>
      <c r="C215" s="115" t="s">
        <v>696</v>
      </c>
      <c r="D215" s="116" t="str">
        <f>VLOOKUP(Контракты[[#This Row],[Клиент]],Клиенты[#All],2,FALSE)</f>
        <v>Кузнецов Евгений Олегович</v>
      </c>
    </row>
    <row r="216" spans="1:4" x14ac:dyDescent="0.25">
      <c r="A216" s="29" t="s">
        <v>208</v>
      </c>
      <c r="B216" s="32" t="s">
        <v>324</v>
      </c>
      <c r="C216" s="32" t="s">
        <v>259</v>
      </c>
      <c r="D216" s="38" t="str">
        <f>VLOOKUP(Контракты[[#This Row],[Клиент]],Клиенты[#All],2,FALSE)</f>
        <v>Кузнецов Евгений Олегович</v>
      </c>
    </row>
    <row r="217" spans="1:4" x14ac:dyDescent="0.25">
      <c r="A217" s="29" t="s">
        <v>208</v>
      </c>
      <c r="B217" s="32" t="s">
        <v>300</v>
      </c>
      <c r="C217" s="32" t="s">
        <v>247</v>
      </c>
      <c r="D217" s="38" t="str">
        <f>VLOOKUP(Контракты[[#This Row],[Клиент]],Клиенты[#All],2,FALSE)</f>
        <v>Кролевецкий Денис Владимирович</v>
      </c>
    </row>
    <row r="218" spans="1:4" x14ac:dyDescent="0.25">
      <c r="A218" s="29" t="s">
        <v>208</v>
      </c>
      <c r="B218" s="32" t="s">
        <v>300</v>
      </c>
      <c r="C218" s="32" t="s">
        <v>248</v>
      </c>
      <c r="D218" s="38" t="str">
        <f>VLOOKUP(Контракты[[#This Row],[Клиент]],Клиенты[#All],2,FALSE)</f>
        <v>Кролевецкий Денис Владимирович</v>
      </c>
    </row>
    <row r="219" spans="1:4" x14ac:dyDescent="0.25">
      <c r="A219" s="29" t="s">
        <v>208</v>
      </c>
      <c r="B219" s="32" t="s">
        <v>308</v>
      </c>
      <c r="C219" s="32" t="s">
        <v>249</v>
      </c>
      <c r="D219" s="38" t="str">
        <f>VLOOKUP(Контракты[[#This Row],[Клиент]],Клиенты[#All],2,FALSE)</f>
        <v>Грызунов Роман Николаевич</v>
      </c>
    </row>
    <row r="220" spans="1:4" x14ac:dyDescent="0.25">
      <c r="A220" s="29" t="s">
        <v>208</v>
      </c>
      <c r="B220" s="32" t="s">
        <v>280</v>
      </c>
      <c r="C220" s="32" t="s">
        <v>240</v>
      </c>
      <c r="D220" s="38" t="str">
        <f>VLOOKUP(Контракты[[#This Row],[Клиент]],Клиенты[#All],2,FALSE)</f>
        <v>Мартюшов Андрей Евгеньевич</v>
      </c>
    </row>
    <row r="221" spans="1:4" x14ac:dyDescent="0.25">
      <c r="A221" s="29" t="s">
        <v>208</v>
      </c>
      <c r="B221" s="32" t="s">
        <v>280</v>
      </c>
      <c r="C221" s="32" t="s">
        <v>248</v>
      </c>
      <c r="D221" s="38" t="str">
        <f>VLOOKUP(Контракты[[#This Row],[Клиент]],Клиенты[#All],2,FALSE)</f>
        <v>Мартюшов Андрей Евгеньевич</v>
      </c>
    </row>
    <row r="222" spans="1:4" hidden="1" x14ac:dyDescent="0.25">
      <c r="A222" s="29" t="s">
        <v>211</v>
      </c>
      <c r="B222" s="32" t="s">
        <v>497</v>
      </c>
      <c r="C222" s="32" t="s">
        <v>401</v>
      </c>
      <c r="D222" s="38" t="str">
        <f>VLOOKUP(Контракты[[#This Row],[Клиент]],Клиенты[#All],2,FALSE)</f>
        <v>Кузнецов Евгений Олегович</v>
      </c>
    </row>
    <row r="223" spans="1:4" hidden="1" x14ac:dyDescent="0.25">
      <c r="A223" s="29" t="s">
        <v>211</v>
      </c>
      <c r="B223" s="32" t="s">
        <v>497</v>
      </c>
      <c r="C223" s="32" t="s">
        <v>403</v>
      </c>
      <c r="D223" s="38" t="str">
        <f>VLOOKUP(Контракты[[#This Row],[Клиент]],Клиенты[#All],2,FALSE)</f>
        <v>Кузнецов Евгений Олегович</v>
      </c>
    </row>
    <row r="224" spans="1:4" hidden="1" x14ac:dyDescent="0.25">
      <c r="A224" s="29" t="s">
        <v>211</v>
      </c>
      <c r="B224" s="32" t="s">
        <v>497</v>
      </c>
      <c r="C224" s="32" t="s">
        <v>228</v>
      </c>
      <c r="D224" s="38" t="str">
        <f>VLOOKUP(Контракты[[#This Row],[Клиент]],Клиенты[#All],2,FALSE)</f>
        <v>Кузнецов Евгений Олегович</v>
      </c>
    </row>
    <row r="225" spans="1:4" x14ac:dyDescent="0.25">
      <c r="A225" s="29" t="s">
        <v>208</v>
      </c>
      <c r="B225" s="32" t="s">
        <v>319</v>
      </c>
      <c r="C225" s="23" t="s">
        <v>260</v>
      </c>
      <c r="D225" s="38" t="str">
        <f>VLOOKUP(Контракты[[#This Row],[Клиент]],Клиенты[#All],2,FALSE)</f>
        <v>Мартюшов Андрей Евгеньевич</v>
      </c>
    </row>
    <row r="226" spans="1:4" hidden="1" x14ac:dyDescent="0.25">
      <c r="A226" s="29" t="s">
        <v>206</v>
      </c>
      <c r="B226" s="24" t="s">
        <v>141</v>
      </c>
      <c r="C226" s="24" t="s">
        <v>669</v>
      </c>
      <c r="D226" s="38" t="str">
        <f>VLOOKUP(Контракты[[#This Row],[Клиент]],Клиенты[#All],2,FALSE)</f>
        <v>Кузнецов Евгений Олегович</v>
      </c>
    </row>
    <row r="227" spans="1:4" hidden="1" x14ac:dyDescent="0.25">
      <c r="A227" s="29" t="s">
        <v>206</v>
      </c>
      <c r="B227" s="24" t="s">
        <v>141</v>
      </c>
      <c r="C227" s="24" t="s">
        <v>58</v>
      </c>
      <c r="D227" s="38" t="str">
        <f>VLOOKUP(Контракты[[#This Row],[Клиент]],Клиенты[#All],2,FALSE)</f>
        <v>Кузнецов Евгений Олегович</v>
      </c>
    </row>
    <row r="228" spans="1:4" hidden="1" x14ac:dyDescent="0.25">
      <c r="A228" s="29" t="s">
        <v>206</v>
      </c>
      <c r="B228" s="24" t="s">
        <v>141</v>
      </c>
      <c r="C228" s="24" t="s">
        <v>24</v>
      </c>
      <c r="D228" s="38" t="str">
        <f>VLOOKUP(Контракты[[#This Row],[Клиент]],Клиенты[#All],2,FALSE)</f>
        <v>Кузнецов Евгений Олегович</v>
      </c>
    </row>
    <row r="229" spans="1:4" hidden="1" x14ac:dyDescent="0.25">
      <c r="A229" s="29" t="s">
        <v>206</v>
      </c>
      <c r="B229" s="24" t="s">
        <v>141</v>
      </c>
      <c r="C229" s="24" t="s">
        <v>34</v>
      </c>
      <c r="D229" s="38" t="str">
        <f>VLOOKUP(Контракты[[#This Row],[Клиент]],Клиенты[#All],2,FALSE)</f>
        <v>Кузнецов Евгений Олегович</v>
      </c>
    </row>
    <row r="230" spans="1:4" hidden="1" x14ac:dyDescent="0.25">
      <c r="A230" s="29" t="s">
        <v>206</v>
      </c>
      <c r="B230" s="24" t="s">
        <v>1</v>
      </c>
      <c r="C230" s="24" t="s">
        <v>33</v>
      </c>
      <c r="D230" s="38" t="str">
        <f>VLOOKUP(Контракты[[#This Row],[Клиент]],Клиенты[#All],2,FALSE)</f>
        <v>Кролевецкий Денис Владимирович</v>
      </c>
    </row>
    <row r="231" spans="1:4" hidden="1" x14ac:dyDescent="0.25">
      <c r="A231" s="78" t="s">
        <v>211</v>
      </c>
      <c r="B231" s="69" t="s">
        <v>1</v>
      </c>
      <c r="C231" s="69" t="s">
        <v>404</v>
      </c>
      <c r="D231" s="70" t="str">
        <f>VLOOKUP(Контракты[[#This Row],[Клиент]],Клиенты[#All],2,FALSE)</f>
        <v>Кролевецкий Денис Владимирович</v>
      </c>
    </row>
    <row r="232" spans="1:4" hidden="1" x14ac:dyDescent="0.25">
      <c r="A232" s="78" t="s">
        <v>211</v>
      </c>
      <c r="B232" s="69" t="s">
        <v>1</v>
      </c>
      <c r="C232" s="69" t="s">
        <v>442</v>
      </c>
      <c r="D232" s="70" t="str">
        <f>VLOOKUP(Контракты[[#This Row],[Клиент]],Клиенты[#All],2,FALSE)</f>
        <v>Кролевецкий Денис Владимирович</v>
      </c>
    </row>
    <row r="233" spans="1:4" hidden="1" x14ac:dyDescent="0.25">
      <c r="A233" s="78" t="s">
        <v>211</v>
      </c>
      <c r="B233" s="69" t="s">
        <v>1</v>
      </c>
      <c r="C233" s="80" t="s">
        <v>414</v>
      </c>
      <c r="D233" s="81" t="str">
        <f>VLOOKUP(Контракты[[#This Row],[Клиент]],Клиенты[#All],2,FALSE)</f>
        <v>Кролевецкий Денис Владимирович</v>
      </c>
    </row>
    <row r="234" spans="1:4" hidden="1" x14ac:dyDescent="0.25">
      <c r="A234" s="54" t="s">
        <v>211</v>
      </c>
      <c r="B234" s="55" t="s">
        <v>566</v>
      </c>
      <c r="C234" s="55" t="s">
        <v>368</v>
      </c>
      <c r="D234" s="56" t="str">
        <f>VLOOKUP(Контракты[[#This Row],[Клиент]],Клиенты[#All],2,FALSE)</f>
        <v>Коваленко Наталья Алексеевна</v>
      </c>
    </row>
    <row r="235" spans="1:4" hidden="1" x14ac:dyDescent="0.25">
      <c r="A235" s="54" t="s">
        <v>211</v>
      </c>
      <c r="B235" s="55" t="s">
        <v>566</v>
      </c>
      <c r="C235" s="55" t="s">
        <v>369</v>
      </c>
      <c r="D235" s="56" t="str">
        <f>VLOOKUP(Контракты[[#This Row],[Клиент]],Клиенты[#All],2,FALSE)</f>
        <v>Коваленко Наталья Алексеевна</v>
      </c>
    </row>
    <row r="236" spans="1:4" hidden="1" x14ac:dyDescent="0.25">
      <c r="A236" s="54" t="s">
        <v>211</v>
      </c>
      <c r="B236" s="55" t="s">
        <v>566</v>
      </c>
      <c r="C236" s="55" t="s">
        <v>373</v>
      </c>
      <c r="D236" s="56" t="str">
        <f>VLOOKUP(Контракты[[#This Row],[Клиент]],Клиенты[#All],2,FALSE)</f>
        <v>Коваленко Наталья Алексеевна</v>
      </c>
    </row>
    <row r="237" spans="1:4" hidden="1" x14ac:dyDescent="0.25">
      <c r="A237" s="54" t="s">
        <v>211</v>
      </c>
      <c r="B237" s="55" t="s">
        <v>566</v>
      </c>
      <c r="C237" s="55" t="s">
        <v>374</v>
      </c>
      <c r="D237" s="56" t="str">
        <f>VLOOKUP(Контракты[[#This Row],[Клиент]],Клиенты[#All],2,FALSE)</f>
        <v>Коваленко Наталья Алексеевна</v>
      </c>
    </row>
    <row r="238" spans="1:4" hidden="1" x14ac:dyDescent="0.25">
      <c r="A238" s="54" t="s">
        <v>211</v>
      </c>
      <c r="B238" s="55" t="s">
        <v>566</v>
      </c>
      <c r="C238" s="55" t="s">
        <v>375</v>
      </c>
      <c r="D238" s="56" t="str">
        <f>VLOOKUP(Контракты[[#This Row],[Клиент]],Клиенты[#All],2,FALSE)</f>
        <v>Коваленко Наталья Алексеевна</v>
      </c>
    </row>
    <row r="239" spans="1:4" hidden="1" x14ac:dyDescent="0.25">
      <c r="A239" s="54" t="s">
        <v>211</v>
      </c>
      <c r="B239" s="55" t="s">
        <v>566</v>
      </c>
      <c r="C239" s="55" t="s">
        <v>379</v>
      </c>
      <c r="D239" s="56" t="str">
        <f>VLOOKUP(Контракты[[#This Row],[Клиент]],Клиенты[#All],2,FALSE)</f>
        <v>Коваленко Наталья Алексеевна</v>
      </c>
    </row>
    <row r="240" spans="1:4" hidden="1" x14ac:dyDescent="0.25">
      <c r="A240" s="54" t="s">
        <v>211</v>
      </c>
      <c r="B240" s="55" t="s">
        <v>566</v>
      </c>
      <c r="C240" s="55" t="s">
        <v>482</v>
      </c>
      <c r="D240" s="56" t="str">
        <f>VLOOKUP(Контракты[[#This Row],[Клиент]],Клиенты[#All],2,FALSE)</f>
        <v>Коваленко Наталья Алексеевна</v>
      </c>
    </row>
    <row r="241" spans="1:4" hidden="1" x14ac:dyDescent="0.25">
      <c r="A241" s="29" t="s">
        <v>206</v>
      </c>
      <c r="B241" s="24" t="s">
        <v>72</v>
      </c>
      <c r="C241" s="24" t="s">
        <v>24</v>
      </c>
      <c r="D241" s="38" t="str">
        <f>VLOOKUP(Контракты[[#This Row],[Клиент]],Клиенты[#All],2,FALSE)</f>
        <v>Федотов Алексей Николаевич</v>
      </c>
    </row>
    <row r="242" spans="1:4" hidden="1" x14ac:dyDescent="0.25">
      <c r="A242" s="29" t="s">
        <v>211</v>
      </c>
      <c r="B242" s="32" t="s">
        <v>526</v>
      </c>
      <c r="C242" s="32" t="s">
        <v>363</v>
      </c>
      <c r="D242" s="38" t="str">
        <f>VLOOKUP(Контракты[[#This Row],[Клиент]],Клиенты[#All],2,FALSE)</f>
        <v>Коваленко Наталья Алексеевна</v>
      </c>
    </row>
    <row r="243" spans="1:4" hidden="1" x14ac:dyDescent="0.25">
      <c r="A243" s="29" t="s">
        <v>211</v>
      </c>
      <c r="B243" s="32" t="s">
        <v>500</v>
      </c>
      <c r="C243" s="32" t="s">
        <v>403</v>
      </c>
      <c r="D243" s="38" t="str">
        <f>VLOOKUP(Контракты[[#This Row],[Клиент]],Клиенты[#All],2,FALSE)</f>
        <v>Коваленко Наталья Алексеевна</v>
      </c>
    </row>
    <row r="244" spans="1:4" hidden="1" x14ac:dyDescent="0.25">
      <c r="A244" s="29" t="s">
        <v>211</v>
      </c>
      <c r="B244" s="32" t="s">
        <v>491</v>
      </c>
      <c r="C244" s="32" t="s">
        <v>482</v>
      </c>
      <c r="D244" s="38" t="str">
        <f>VLOOKUP(Контракты[[#This Row],[Клиент]],Клиенты[#All],2,FALSE)</f>
        <v>Коваленко Наталья Алексеевна</v>
      </c>
    </row>
    <row r="245" spans="1:4" x14ac:dyDescent="0.25">
      <c r="A245" s="29" t="s">
        <v>208</v>
      </c>
      <c r="B245" s="23" t="s">
        <v>677</v>
      </c>
      <c r="C245" s="32" t="s">
        <v>243</v>
      </c>
      <c r="D245" s="38" t="str">
        <f>VLOOKUP(Контракты[[#This Row],[Клиент]],Клиенты[#All],2,FALSE)</f>
        <v>Кролевецкий Денис Владимирович</v>
      </c>
    </row>
    <row r="246" spans="1:4" x14ac:dyDescent="0.25">
      <c r="A246" s="79" t="s">
        <v>208</v>
      </c>
      <c r="B246" s="91" t="s">
        <v>675</v>
      </c>
      <c r="C246" s="91" t="s">
        <v>267</v>
      </c>
      <c r="D246" s="94" t="str">
        <f>VLOOKUP(Контракты[[#This Row],[Клиент]],Клиенты[#All],2,FALSE)</f>
        <v>Мартюшов Андрей Евгеньевич</v>
      </c>
    </row>
    <row r="247" spans="1:4" x14ac:dyDescent="0.25">
      <c r="A247" s="29" t="s">
        <v>208</v>
      </c>
      <c r="B247" s="32" t="s">
        <v>278</v>
      </c>
      <c r="C247" s="32" t="s">
        <v>240</v>
      </c>
      <c r="D247" s="38" t="str">
        <f>VLOOKUP(Контракты[[#This Row],[Клиент]],Клиенты[#All],2,FALSE)</f>
        <v>Мартюшов Андрей Евгеньевич</v>
      </c>
    </row>
    <row r="248" spans="1:4" x14ac:dyDescent="0.25">
      <c r="A248" s="29" t="s">
        <v>208</v>
      </c>
      <c r="B248" s="32" t="s">
        <v>278</v>
      </c>
      <c r="C248" s="32" t="s">
        <v>245</v>
      </c>
      <c r="D248" s="38" t="str">
        <f>VLOOKUP(Контракты[[#This Row],[Клиент]],Клиенты[#All],2,FALSE)</f>
        <v>Мартюшов Андрей Евгеньевич</v>
      </c>
    </row>
    <row r="249" spans="1:4" x14ac:dyDescent="0.25">
      <c r="A249" s="29" t="s">
        <v>208</v>
      </c>
      <c r="B249" s="32" t="s">
        <v>278</v>
      </c>
      <c r="C249" s="32" t="s">
        <v>248</v>
      </c>
      <c r="D249" s="38" t="str">
        <f>VLOOKUP(Контракты[[#This Row],[Клиент]],Клиенты[#All],2,FALSE)</f>
        <v>Мартюшов Андрей Евгеньевич</v>
      </c>
    </row>
    <row r="250" spans="1:4" hidden="1" x14ac:dyDescent="0.25">
      <c r="A250" s="29" t="s">
        <v>207</v>
      </c>
      <c r="B250" s="32" t="s">
        <v>273</v>
      </c>
      <c r="C250" s="32" t="s">
        <v>222</v>
      </c>
      <c r="D250" s="38" t="str">
        <f>VLOOKUP(Контракты[[#This Row],[Клиент]],Клиенты[#All],2,FALSE)</f>
        <v>Мартюшов Андрей Евгеньевич</v>
      </c>
    </row>
    <row r="251" spans="1:4" hidden="1" x14ac:dyDescent="0.25">
      <c r="A251" s="29" t="s">
        <v>207</v>
      </c>
      <c r="B251" s="32" t="s">
        <v>231</v>
      </c>
      <c r="C251" s="32" t="s">
        <v>222</v>
      </c>
      <c r="D251" s="38" t="str">
        <f>VLOOKUP(Контракты[[#This Row],[Клиент]],Клиенты[#All],2,FALSE)</f>
        <v>Мартюшов Андрей Евгеньевич</v>
      </c>
    </row>
    <row r="252" spans="1:4" hidden="1" x14ac:dyDescent="0.25">
      <c r="A252" s="29" t="s">
        <v>206</v>
      </c>
      <c r="B252" s="24" t="s">
        <v>92</v>
      </c>
      <c r="C252" s="24" t="s">
        <v>23</v>
      </c>
      <c r="D252" s="38" t="str">
        <f>VLOOKUP(Контракты[[#This Row],[Клиент]],Клиенты[#All],2,FALSE)</f>
        <v>Федотов Алексей Николаевич</v>
      </c>
    </row>
    <row r="253" spans="1:4" hidden="1" x14ac:dyDescent="0.25">
      <c r="A253" s="29" t="s">
        <v>211</v>
      </c>
      <c r="B253" s="32" t="s">
        <v>92</v>
      </c>
      <c r="C253" s="32" t="s">
        <v>442</v>
      </c>
      <c r="D253" s="38" t="str">
        <f>VLOOKUP(Контракты[[#This Row],[Клиент]],Клиенты[#All],2,FALSE)</f>
        <v>Федотов Алексей Николаевич</v>
      </c>
    </row>
    <row r="254" spans="1:4" hidden="1" x14ac:dyDescent="0.25">
      <c r="A254" s="29" t="s">
        <v>206</v>
      </c>
      <c r="B254" s="24" t="s">
        <v>74</v>
      </c>
      <c r="C254" s="24" t="s">
        <v>665</v>
      </c>
      <c r="D254" s="38" t="str">
        <f>VLOOKUP(Контракты[[#This Row],[Клиент]],Клиенты[#All],2,FALSE)</f>
        <v>Федотов Алексей Николаевич</v>
      </c>
    </row>
    <row r="255" spans="1:4" hidden="1" x14ac:dyDescent="0.25">
      <c r="A255" s="29" t="s">
        <v>206</v>
      </c>
      <c r="B255" s="24" t="s">
        <v>74</v>
      </c>
      <c r="C255" s="24" t="s">
        <v>667</v>
      </c>
      <c r="D255" s="38" t="str">
        <f>VLOOKUP(Контракты[[#This Row],[Клиент]],Клиенты[#All],2,FALSE)</f>
        <v>Федотов Алексей Николаевич</v>
      </c>
    </row>
    <row r="256" spans="1:4" x14ac:dyDescent="0.25">
      <c r="A256" s="29" t="s">
        <v>208</v>
      </c>
      <c r="B256" s="32" t="s">
        <v>278</v>
      </c>
      <c r="C256" s="32" t="s">
        <v>257</v>
      </c>
      <c r="D256" s="38" t="str">
        <f>VLOOKUP(Контракты[[#This Row],[Клиент]],Клиенты[#All],2,FALSE)</f>
        <v>Мартюшов Андрей Евгеньевич</v>
      </c>
    </row>
    <row r="257" spans="1:4" x14ac:dyDescent="0.25">
      <c r="A257" s="29" t="s">
        <v>208</v>
      </c>
      <c r="B257" s="32" t="s">
        <v>545</v>
      </c>
      <c r="C257" s="32" t="s">
        <v>239</v>
      </c>
      <c r="D257" s="38" t="str">
        <f>VLOOKUP(Контракты[[#This Row],[Клиент]],Клиенты[#All],2,FALSE)</f>
        <v>Грызунов Роман Николаевич</v>
      </c>
    </row>
    <row r="258" spans="1:4" hidden="1" x14ac:dyDescent="0.25">
      <c r="A258" s="29" t="s">
        <v>211</v>
      </c>
      <c r="B258" s="32" t="s">
        <v>545</v>
      </c>
      <c r="C258" s="32" t="s">
        <v>446</v>
      </c>
      <c r="D258" s="38" t="str">
        <f>VLOOKUP(Контракты[[#This Row],[Клиент]],Клиенты[#All],2,FALSE)</f>
        <v>Грызунов Роман Николаевич</v>
      </c>
    </row>
    <row r="259" spans="1:4" hidden="1" x14ac:dyDescent="0.25">
      <c r="A259" s="29" t="s">
        <v>211</v>
      </c>
      <c r="B259" s="32" t="s">
        <v>519</v>
      </c>
      <c r="C259" s="32" t="s">
        <v>428</v>
      </c>
      <c r="D259" s="38" t="str">
        <f>VLOOKUP(Контракты[[#This Row],[Клиент]],Клиенты[#All],2,FALSE)</f>
        <v>Коваленко Наталья Алексеевна</v>
      </c>
    </row>
    <row r="260" spans="1:4" hidden="1" x14ac:dyDescent="0.25">
      <c r="A260" s="29" t="s">
        <v>206</v>
      </c>
      <c r="B260" s="24" t="s">
        <v>143</v>
      </c>
      <c r="C260" s="23" t="s">
        <v>665</v>
      </c>
      <c r="D260" s="38" t="str">
        <f>VLOOKUP(Контракты[[#This Row],[Клиент]],Клиенты[#All],2,FALSE)</f>
        <v>Федотов Алексей Николаевич</v>
      </c>
    </row>
    <row r="261" spans="1:4" hidden="1" x14ac:dyDescent="0.25">
      <c r="A261" s="29" t="s">
        <v>206</v>
      </c>
      <c r="B261" s="24" t="s">
        <v>9</v>
      </c>
      <c r="C261" s="24" t="s">
        <v>23</v>
      </c>
      <c r="D261" s="38" t="str">
        <f>VLOOKUP(Контракты[[#This Row],[Клиент]],Клиенты[#All],2,FALSE)</f>
        <v>Мартюшов Андрей Евгеньевич</v>
      </c>
    </row>
    <row r="262" spans="1:4" hidden="1" x14ac:dyDescent="0.25">
      <c r="A262" s="29" t="s">
        <v>206</v>
      </c>
      <c r="B262" s="24" t="s">
        <v>144</v>
      </c>
      <c r="C262" s="24" t="s">
        <v>670</v>
      </c>
      <c r="D262" s="38" t="str">
        <f>VLOOKUP(Контракты[[#This Row],[Клиент]],Клиенты[#All],2,FALSE)</f>
        <v>Кузнецов Евгений Олегович</v>
      </c>
    </row>
    <row r="263" spans="1:4" x14ac:dyDescent="0.25">
      <c r="A263" s="29" t="s">
        <v>208</v>
      </c>
      <c r="B263" s="32" t="s">
        <v>545</v>
      </c>
      <c r="C263" s="32" t="s">
        <v>250</v>
      </c>
      <c r="D263" s="38" t="str">
        <f>VLOOKUP(Контракты[[#This Row],[Клиент]],Клиенты[#All],2,FALSE)</f>
        <v>Грызунов Роман Николаевич</v>
      </c>
    </row>
    <row r="264" spans="1:4" x14ac:dyDescent="0.25">
      <c r="A264" s="54" t="s">
        <v>208</v>
      </c>
      <c r="B264" s="55" t="s">
        <v>598</v>
      </c>
      <c r="C264" s="55" t="s">
        <v>263</v>
      </c>
      <c r="D264" s="56" t="str">
        <f>VLOOKUP(Контракты[[#This Row],[Клиент]],Клиенты[#All],2,FALSE)</f>
        <v>Мусаев Мурад Исмаилович</v>
      </c>
    </row>
    <row r="265" spans="1:4" x14ac:dyDescent="0.25">
      <c r="A265" s="54" t="s">
        <v>208</v>
      </c>
      <c r="B265" s="55" t="s">
        <v>598</v>
      </c>
      <c r="C265" s="55" t="s">
        <v>265</v>
      </c>
      <c r="D265" s="56" t="str">
        <f>VLOOKUP(Контракты[[#This Row],[Клиент]],Клиенты[#All],2,FALSE)</f>
        <v>Мусаев Мурад Исмаилович</v>
      </c>
    </row>
    <row r="266" spans="1:4" x14ac:dyDescent="0.25">
      <c r="A266" s="54" t="s">
        <v>208</v>
      </c>
      <c r="B266" s="55" t="s">
        <v>598</v>
      </c>
      <c r="C266" s="55" t="s">
        <v>267</v>
      </c>
      <c r="D266" s="56" t="str">
        <f>VLOOKUP(Контракты[[#This Row],[Клиент]],Клиенты[#All],2,FALSE)</f>
        <v>Мусаев Мурад Исмаилович</v>
      </c>
    </row>
    <row r="267" spans="1:4" hidden="1" x14ac:dyDescent="0.25">
      <c r="A267" s="29" t="s">
        <v>206</v>
      </c>
      <c r="B267" s="24" t="s">
        <v>145</v>
      </c>
      <c r="C267" s="24" t="s">
        <v>24</v>
      </c>
      <c r="D267" s="38" t="str">
        <f>VLOOKUP(Контракты[[#This Row],[Клиент]],Клиенты[#All],2,FALSE)</f>
        <v>Федотов Алексей Николаевич</v>
      </c>
    </row>
    <row r="268" spans="1:4" hidden="1" x14ac:dyDescent="0.25">
      <c r="A268" s="29" t="s">
        <v>206</v>
      </c>
      <c r="B268" s="24" t="s">
        <v>146</v>
      </c>
      <c r="C268" s="24" t="s">
        <v>33</v>
      </c>
      <c r="D268" s="38" t="str">
        <f>VLOOKUP(Контракты[[#This Row],[Клиент]],Клиенты[#All],2,FALSE)</f>
        <v>Мартюшов Андрей Евгеньевич</v>
      </c>
    </row>
    <row r="269" spans="1:4" hidden="1" x14ac:dyDescent="0.25">
      <c r="A269" s="29" t="s">
        <v>206</v>
      </c>
      <c r="B269" s="24" t="s">
        <v>154</v>
      </c>
      <c r="C269" s="24" t="s">
        <v>670</v>
      </c>
      <c r="D269" s="38" t="str">
        <f>VLOOKUP(Контракты[[#This Row],[Клиент]],Клиенты[#All],2,FALSE)</f>
        <v>Кузнецов Евгений Олегович</v>
      </c>
    </row>
    <row r="270" spans="1:4" hidden="1" x14ac:dyDescent="0.25">
      <c r="A270" s="29" t="s">
        <v>206</v>
      </c>
      <c r="B270" s="24" t="s">
        <v>154</v>
      </c>
      <c r="C270" s="24" t="s">
        <v>23</v>
      </c>
      <c r="D270" s="38" t="str">
        <f>VLOOKUP(Контракты[[#This Row],[Клиент]],Клиенты[#All],2,FALSE)</f>
        <v>Кузнецов Евгений Олегович</v>
      </c>
    </row>
    <row r="271" spans="1:4" hidden="1" x14ac:dyDescent="0.25">
      <c r="A271" s="29" t="s">
        <v>211</v>
      </c>
      <c r="B271" s="32" t="s">
        <v>452</v>
      </c>
      <c r="C271" s="32" t="s">
        <v>375</v>
      </c>
      <c r="D271" s="38" t="str">
        <f>VLOOKUP(Контракты[[#This Row],[Клиент]],Клиенты[#All],2,FALSE)</f>
        <v>Коваленко Наталья Алексеевна</v>
      </c>
    </row>
    <row r="272" spans="1:4" hidden="1" x14ac:dyDescent="0.25">
      <c r="A272" s="29" t="s">
        <v>211</v>
      </c>
      <c r="B272" s="32" t="s">
        <v>452</v>
      </c>
      <c r="C272" s="32" t="s">
        <v>480</v>
      </c>
      <c r="D272" s="38" t="str">
        <f>VLOOKUP(Контракты[[#This Row],[Клиент]],Клиенты[#All],2,FALSE)</f>
        <v>Коваленко Наталья Алексеевна</v>
      </c>
    </row>
    <row r="273" spans="1:4" hidden="1" x14ac:dyDescent="0.25">
      <c r="A273" s="29" t="s">
        <v>211</v>
      </c>
      <c r="B273" s="32" t="s">
        <v>452</v>
      </c>
      <c r="C273" s="32" t="s">
        <v>404</v>
      </c>
      <c r="D273" s="38" t="str">
        <f>VLOOKUP(Контракты[[#This Row],[Клиент]],Клиенты[#All],2,FALSE)</f>
        <v>Коваленко Наталья Алексеевна</v>
      </c>
    </row>
    <row r="274" spans="1:4" hidden="1" x14ac:dyDescent="0.25">
      <c r="A274" s="29" t="s">
        <v>211</v>
      </c>
      <c r="B274" s="32" t="s">
        <v>511</v>
      </c>
      <c r="C274" s="32" t="s">
        <v>428</v>
      </c>
      <c r="D274" s="38" t="str">
        <f>VLOOKUP(Контракты[[#This Row],[Клиент]],Клиенты[#All],2,FALSE)</f>
        <v>Тимофеев Алексей Владимирович</v>
      </c>
    </row>
    <row r="275" spans="1:4" hidden="1" x14ac:dyDescent="0.25">
      <c r="A275" s="54" t="s">
        <v>211</v>
      </c>
      <c r="B275" s="55" t="s">
        <v>570</v>
      </c>
      <c r="C275" s="55" t="s">
        <v>381</v>
      </c>
      <c r="D275" s="56" t="str">
        <f>VLOOKUP(Контракты[[#This Row],[Клиент]],Клиенты[#All],2,FALSE)</f>
        <v>Коваленко Наталья Алексеевна</v>
      </c>
    </row>
    <row r="276" spans="1:4" hidden="1" x14ac:dyDescent="0.25">
      <c r="A276" s="29" t="s">
        <v>211</v>
      </c>
      <c r="B276" s="32" t="s">
        <v>473</v>
      </c>
      <c r="C276" s="32" t="s">
        <v>381</v>
      </c>
      <c r="D276" s="38" t="str">
        <f>VLOOKUP(Контракты[[#This Row],[Клиент]],Клиенты[#All],2,FALSE)</f>
        <v>Коваленко Наталья Алексеевна</v>
      </c>
    </row>
    <row r="277" spans="1:4" hidden="1" x14ac:dyDescent="0.25">
      <c r="A277" s="29" t="s">
        <v>211</v>
      </c>
      <c r="B277" s="32" t="s">
        <v>473</v>
      </c>
      <c r="C277" s="32" t="s">
        <v>382</v>
      </c>
      <c r="D277" s="38" t="str">
        <f>VLOOKUP(Контракты[[#This Row],[Клиент]],Клиенты[#All],2,FALSE)</f>
        <v>Коваленко Наталья Алексеевна</v>
      </c>
    </row>
    <row r="278" spans="1:4" hidden="1" x14ac:dyDescent="0.25">
      <c r="A278" s="54" t="s">
        <v>211</v>
      </c>
      <c r="B278" s="55" t="s">
        <v>473</v>
      </c>
      <c r="C278" s="55" t="s">
        <v>385</v>
      </c>
      <c r="D278" s="56" t="str">
        <f>VLOOKUP(Контракты[[#This Row],[Клиент]],Клиенты[#All],2,FALSE)</f>
        <v>Коваленко Наталья Алексеевна</v>
      </c>
    </row>
    <row r="279" spans="1:4" hidden="1" x14ac:dyDescent="0.25">
      <c r="A279" s="29" t="s">
        <v>211</v>
      </c>
      <c r="B279" s="32" t="s">
        <v>522</v>
      </c>
      <c r="C279" s="32" t="s">
        <v>442</v>
      </c>
      <c r="D279" s="38" t="str">
        <f>VLOOKUP(Контракты[[#This Row],[Клиент]],Клиенты[#All],2,FALSE)</f>
        <v>Федотов Алексей Николаевич</v>
      </c>
    </row>
    <row r="280" spans="1:4" hidden="1" x14ac:dyDescent="0.25">
      <c r="A280" s="29" t="s">
        <v>211</v>
      </c>
      <c r="B280" s="32" t="s">
        <v>522</v>
      </c>
      <c r="C280" s="32" t="s">
        <v>443</v>
      </c>
      <c r="D280" s="38" t="str">
        <f>VLOOKUP(Контракты[[#This Row],[Клиент]],Клиенты[#All],2,FALSE)</f>
        <v>Федотов Алексей Николаевич</v>
      </c>
    </row>
    <row r="281" spans="1:4" hidden="1" x14ac:dyDescent="0.25">
      <c r="A281" s="29" t="s">
        <v>206</v>
      </c>
      <c r="B281" s="24" t="s">
        <v>5</v>
      </c>
      <c r="C281" s="24" t="s">
        <v>24</v>
      </c>
      <c r="D281" s="38" t="str">
        <f>VLOOKUP(Контракты[[#This Row],[Клиент]],Клиенты[#All],2,FALSE)</f>
        <v>Кузнецов Евгений Олегович</v>
      </c>
    </row>
    <row r="282" spans="1:4" hidden="1" x14ac:dyDescent="0.25">
      <c r="A282" s="29" t="s">
        <v>206</v>
      </c>
      <c r="B282" s="24" t="s">
        <v>5</v>
      </c>
      <c r="C282" s="24" t="s">
        <v>34</v>
      </c>
      <c r="D282" s="38" t="str">
        <f>VLOOKUP(Контракты[[#This Row],[Клиент]],Клиенты[#All],2,FALSE)</f>
        <v>Кузнецов Евгений Олегович</v>
      </c>
    </row>
    <row r="283" spans="1:4" hidden="1" x14ac:dyDescent="0.25">
      <c r="A283" s="29" t="s">
        <v>211</v>
      </c>
      <c r="B283" s="32" t="s">
        <v>507</v>
      </c>
      <c r="C283" s="32" t="s">
        <v>228</v>
      </c>
      <c r="D283" s="38" t="str">
        <f>VLOOKUP(Контракты[[#This Row],[Клиент]],Клиенты[#All],2,FALSE)</f>
        <v>Кузнецов Евгений Олегович</v>
      </c>
    </row>
    <row r="284" spans="1:4" hidden="1" x14ac:dyDescent="0.25">
      <c r="A284" s="29" t="s">
        <v>206</v>
      </c>
      <c r="B284" s="24" t="s">
        <v>149</v>
      </c>
      <c r="C284" s="24" t="s">
        <v>23</v>
      </c>
      <c r="D284" s="38" t="str">
        <f>VLOOKUP(Контракты[[#This Row],[Клиент]],Клиенты[#All],2,FALSE)</f>
        <v>Федотов Алексей Николаевич</v>
      </c>
    </row>
    <row r="285" spans="1:4" hidden="1" x14ac:dyDescent="0.25">
      <c r="A285" s="54" t="s">
        <v>207</v>
      </c>
      <c r="B285" s="55" t="s">
        <v>578</v>
      </c>
      <c r="C285" s="55" t="s">
        <v>348</v>
      </c>
      <c r="D285" s="56" t="str">
        <f>VLOOKUP(Контракты[[#This Row],[Клиент]],Клиенты[#All],2,FALSE)</f>
        <v>Мартюшов Андрей Евгеньевич</v>
      </c>
    </row>
    <row r="286" spans="1:4" hidden="1" x14ac:dyDescent="0.25">
      <c r="A286" s="54" t="s">
        <v>207</v>
      </c>
      <c r="B286" s="55" t="s">
        <v>578</v>
      </c>
      <c r="C286" s="55" t="s">
        <v>574</v>
      </c>
      <c r="D286" s="56" t="str">
        <f>VLOOKUP(Контракты[[#This Row],[Клиент]],Клиенты[#All],2,FALSE)</f>
        <v>Мартюшов Андрей Евгеньевич</v>
      </c>
    </row>
    <row r="287" spans="1:4" x14ac:dyDescent="0.25">
      <c r="A287" s="54" t="s">
        <v>208</v>
      </c>
      <c r="B287" s="55" t="s">
        <v>598</v>
      </c>
      <c r="C287" s="55" t="s">
        <v>268</v>
      </c>
      <c r="D287" s="56" t="str">
        <f>VLOOKUP(Контракты[[#This Row],[Клиент]],Клиенты[#All],2,FALSE)</f>
        <v>Мусаев Мурад Исмаилович</v>
      </c>
    </row>
    <row r="288" spans="1:4" hidden="1" x14ac:dyDescent="0.25">
      <c r="A288" s="29" t="s">
        <v>206</v>
      </c>
      <c r="B288" s="24" t="s">
        <v>8</v>
      </c>
      <c r="C288" s="24" t="s">
        <v>23</v>
      </c>
      <c r="D288" s="38" t="str">
        <f>VLOOKUP(Контракты[[#This Row],[Клиент]],Клиенты[#All],2,FALSE)</f>
        <v>Галичкин Владимир Николаевич</v>
      </c>
    </row>
    <row r="289" spans="1:4" hidden="1" x14ac:dyDescent="0.25">
      <c r="A289" s="54" t="s">
        <v>211</v>
      </c>
      <c r="B289" s="69" t="s">
        <v>625</v>
      </c>
      <c r="C289" s="69" t="s">
        <v>396</v>
      </c>
      <c r="D289" s="70" t="str">
        <f>VLOOKUP(Контракты[[#This Row],[Клиент]],Клиенты[#All],2,FALSE)</f>
        <v>Мусаев Мурад Исмаилович</v>
      </c>
    </row>
    <row r="290" spans="1:4" hidden="1" x14ac:dyDescent="0.25">
      <c r="A290" s="54" t="s">
        <v>211</v>
      </c>
      <c r="B290" s="55" t="s">
        <v>587</v>
      </c>
      <c r="C290" s="55" t="s">
        <v>355</v>
      </c>
      <c r="D290" s="56" t="str">
        <f>VLOOKUP(Контракты[[#This Row],[Клиент]],Клиенты[#All],2,FALSE)</f>
        <v>Мартюшов Андрей Евгеньевич</v>
      </c>
    </row>
    <row r="291" spans="1:4" hidden="1" x14ac:dyDescent="0.25">
      <c r="A291" s="78" t="s">
        <v>211</v>
      </c>
      <c r="B291" s="69" t="s">
        <v>587</v>
      </c>
      <c r="C291" s="69" t="s">
        <v>395</v>
      </c>
      <c r="D291" s="70" t="str">
        <f>VLOOKUP(Контракты[[#This Row],[Клиент]],Клиенты[#All],2,FALSE)</f>
        <v>Мартюшов Андрей Евгеньевич</v>
      </c>
    </row>
    <row r="292" spans="1:4" hidden="1" x14ac:dyDescent="0.25">
      <c r="A292" s="78" t="s">
        <v>211</v>
      </c>
      <c r="B292" s="69" t="s">
        <v>587</v>
      </c>
      <c r="C292" s="69" t="s">
        <v>394</v>
      </c>
      <c r="D292" s="70" t="str">
        <f>VLOOKUP(Контракты[[#This Row],[Клиент]],Клиенты[#All],2,FALSE)</f>
        <v>Мартюшов Андрей Евгеньевич</v>
      </c>
    </row>
    <row r="293" spans="1:4" hidden="1" x14ac:dyDescent="0.25">
      <c r="A293" s="78" t="s">
        <v>211</v>
      </c>
      <c r="B293" s="69" t="s">
        <v>587</v>
      </c>
      <c r="C293" s="69" t="s">
        <v>396</v>
      </c>
      <c r="D293" s="70" t="str">
        <f>VLOOKUP(Контракты[[#This Row],[Клиент]],Клиенты[#All],2,FALSE)</f>
        <v>Мартюшов Андрей Евгеньевич</v>
      </c>
    </row>
    <row r="294" spans="1:4" hidden="1" x14ac:dyDescent="0.25">
      <c r="A294" s="29" t="s">
        <v>211</v>
      </c>
      <c r="B294" s="32" t="s">
        <v>466</v>
      </c>
      <c r="C294" s="32" t="s">
        <v>398</v>
      </c>
      <c r="D294" s="38" t="str">
        <f>VLOOKUP(Контракты[[#This Row],[Клиент]],Клиенты[#All],2,FALSE)</f>
        <v>Галичкин Владимир Николаевич</v>
      </c>
    </row>
    <row r="295" spans="1:4" hidden="1" x14ac:dyDescent="0.25">
      <c r="A295" s="29" t="s">
        <v>211</v>
      </c>
      <c r="B295" s="32" t="s">
        <v>466</v>
      </c>
      <c r="C295" s="32" t="s">
        <v>413</v>
      </c>
      <c r="D295" s="38" t="str">
        <f>VLOOKUP(Контракты[[#This Row],[Клиент]],Клиенты[#All],2,FALSE)</f>
        <v>Галичкин Владимир Николаевич</v>
      </c>
    </row>
    <row r="296" spans="1:4" hidden="1" x14ac:dyDescent="0.25">
      <c r="A296" s="29" t="s">
        <v>207</v>
      </c>
      <c r="B296" s="32" t="s">
        <v>213</v>
      </c>
      <c r="C296" s="32" t="s">
        <v>23</v>
      </c>
      <c r="D296" s="38" t="str">
        <f>VLOOKUP(Контракты[[#This Row],[Клиент]],Клиенты[#All],2,FALSE)</f>
        <v>Федотов Алексей Николаевич</v>
      </c>
    </row>
    <row r="297" spans="1:4" hidden="1" x14ac:dyDescent="0.25">
      <c r="A297" s="29" t="s">
        <v>207</v>
      </c>
      <c r="B297" s="32" t="s">
        <v>209</v>
      </c>
      <c r="C297" s="32" t="s">
        <v>23</v>
      </c>
      <c r="D297" s="38" t="str">
        <f>VLOOKUP(Контракты[[#This Row],[Клиент]],Клиенты[#All],2,FALSE)</f>
        <v>Федотов Алексей Николаевич</v>
      </c>
    </row>
    <row r="298" spans="1:4" hidden="1" x14ac:dyDescent="0.25">
      <c r="A298" s="29" t="s">
        <v>207</v>
      </c>
      <c r="B298" s="32" t="s">
        <v>209</v>
      </c>
      <c r="C298" s="32" t="s">
        <v>24</v>
      </c>
      <c r="D298" s="38" t="str">
        <f>VLOOKUP(Контракты[[#This Row],[Клиент]],Клиенты[#All],2,FALSE)</f>
        <v>Федотов Алексей Николаевич</v>
      </c>
    </row>
    <row r="299" spans="1:4" hidden="1" x14ac:dyDescent="0.25">
      <c r="A299" s="29" t="s">
        <v>207</v>
      </c>
      <c r="B299" s="32" t="s">
        <v>209</v>
      </c>
      <c r="C299" s="32" t="s">
        <v>33</v>
      </c>
      <c r="D299" s="38" t="str">
        <f>VLOOKUP(Контракты[[#This Row],[Клиент]],Клиенты[#All],2,FALSE)</f>
        <v>Федотов Алексей Николаевич</v>
      </c>
    </row>
    <row r="300" spans="1:4" hidden="1" x14ac:dyDescent="0.25">
      <c r="A300" s="29" t="s">
        <v>211</v>
      </c>
      <c r="B300" s="32" t="s">
        <v>209</v>
      </c>
      <c r="C300" s="32" t="s">
        <v>362</v>
      </c>
      <c r="D300" s="38" t="str">
        <f>VLOOKUP(Контракты[[#This Row],[Клиент]],Клиенты[#All],2,FALSE)</f>
        <v>Федотов Алексей Николаевич</v>
      </c>
    </row>
    <row r="301" spans="1:4" hidden="1" x14ac:dyDescent="0.25">
      <c r="A301" s="54" t="s">
        <v>207</v>
      </c>
      <c r="B301" s="55" t="s">
        <v>575</v>
      </c>
      <c r="C301" s="55" t="s">
        <v>348</v>
      </c>
      <c r="D301" s="56" t="str">
        <f>VLOOKUP(Контракты[[#This Row],[Клиент]],Клиенты[#All],2,FALSE)</f>
        <v>Мартюшов Андрей Евгеньевич</v>
      </c>
    </row>
    <row r="302" spans="1:4" hidden="1" x14ac:dyDescent="0.25">
      <c r="A302" s="29" t="s">
        <v>211</v>
      </c>
      <c r="B302" s="32" t="s">
        <v>532</v>
      </c>
      <c r="C302" s="32" t="s">
        <v>442</v>
      </c>
      <c r="D302" s="38" t="str">
        <f>VLOOKUP(Контракты[[#This Row],[Клиент]],Клиенты[#All],2,FALSE)</f>
        <v>Федотов Алексей Николаевич</v>
      </c>
    </row>
    <row r="303" spans="1:4" hidden="1" x14ac:dyDescent="0.25">
      <c r="A303" s="29" t="s">
        <v>206</v>
      </c>
      <c r="B303" s="24" t="s">
        <v>150</v>
      </c>
      <c r="C303" s="24" t="s">
        <v>23</v>
      </c>
      <c r="D303" s="38" t="str">
        <f>VLOOKUP(Контракты[[#This Row],[Клиент]],Клиенты[#All],2,FALSE)</f>
        <v>Федотов Алексей Николаевич</v>
      </c>
    </row>
    <row r="304" spans="1:4" hidden="1" x14ac:dyDescent="0.25">
      <c r="A304" s="29" t="s">
        <v>211</v>
      </c>
      <c r="B304" s="32" t="s">
        <v>150</v>
      </c>
      <c r="C304" s="32" t="s">
        <v>362</v>
      </c>
      <c r="D304" s="38" t="str">
        <f>VLOOKUP(Контракты[[#This Row],[Клиент]],Клиенты[#All],2,FALSE)</f>
        <v>Федотов Алексей Николаевич</v>
      </c>
    </row>
    <row r="305" spans="1:4" hidden="1" x14ac:dyDescent="0.25">
      <c r="A305" s="29" t="s">
        <v>211</v>
      </c>
      <c r="B305" s="32" t="s">
        <v>472</v>
      </c>
      <c r="C305" s="32" t="s">
        <v>362</v>
      </c>
      <c r="D305" s="38" t="str">
        <f>VLOOKUP(Контракты[[#This Row],[Клиент]],Клиенты[#All],2,FALSE)</f>
        <v>Федотов Алексей Николаевич</v>
      </c>
    </row>
    <row r="306" spans="1:4" x14ac:dyDescent="0.25">
      <c r="A306" s="29" t="s">
        <v>208</v>
      </c>
      <c r="B306" s="32" t="s">
        <v>282</v>
      </c>
      <c r="C306" s="32" t="s">
        <v>241</v>
      </c>
      <c r="D306" s="38" t="str">
        <f>VLOOKUP(Контракты[[#This Row],[Клиент]],Клиенты[#All],2,FALSE)</f>
        <v>Кролевецкий Денис Владимирович</v>
      </c>
    </row>
    <row r="307" spans="1:4" x14ac:dyDescent="0.25">
      <c r="A307" s="29" t="s">
        <v>208</v>
      </c>
      <c r="B307" s="32" t="s">
        <v>276</v>
      </c>
      <c r="C307" s="32" t="s">
        <v>239</v>
      </c>
      <c r="D307" s="38" t="str">
        <f>VLOOKUP(Контракты[[#This Row],[Клиент]],Клиенты[#All],2,FALSE)</f>
        <v>Кролевецкий Денис Владимирович</v>
      </c>
    </row>
    <row r="308" spans="1:4" hidden="1" x14ac:dyDescent="0.25">
      <c r="A308" s="29" t="s">
        <v>211</v>
      </c>
      <c r="B308" s="32" t="s">
        <v>276</v>
      </c>
      <c r="C308" s="32" t="s">
        <v>406</v>
      </c>
      <c r="D308" s="38" t="str">
        <f>VLOOKUP(Контракты[[#This Row],[Клиент]],Клиенты[#All],2,FALSE)</f>
        <v>Кролевецкий Денис Владимирович</v>
      </c>
    </row>
    <row r="309" spans="1:4" hidden="1" x14ac:dyDescent="0.25">
      <c r="A309" s="29" t="s">
        <v>211</v>
      </c>
      <c r="B309" s="32" t="s">
        <v>276</v>
      </c>
      <c r="C309" s="32" t="s">
        <v>444</v>
      </c>
      <c r="D309" s="38" t="str">
        <f>VLOOKUP(Контракты[[#This Row],[Клиент]],Клиенты[#All],2,FALSE)</f>
        <v>Кролевецкий Денис Владимирович</v>
      </c>
    </row>
    <row r="310" spans="1:4" hidden="1" x14ac:dyDescent="0.25">
      <c r="A310" s="29" t="s">
        <v>211</v>
      </c>
      <c r="B310" s="32" t="s">
        <v>276</v>
      </c>
      <c r="C310" s="55" t="s">
        <v>397</v>
      </c>
      <c r="D310" s="56" t="str">
        <f>VLOOKUP(Контракты[[#This Row],[Клиент]],Клиенты[#All],2,FALSE)</f>
        <v>Кролевецкий Денис Владимирович</v>
      </c>
    </row>
    <row r="311" spans="1:4" x14ac:dyDescent="0.25">
      <c r="A311" s="29" t="s">
        <v>208</v>
      </c>
      <c r="B311" s="32" t="s">
        <v>276</v>
      </c>
      <c r="C311" s="32" t="s">
        <v>243</v>
      </c>
      <c r="D311" s="38" t="str">
        <f>VLOOKUP(Контракты[[#This Row],[Клиент]],Клиенты[#All],2,FALSE)</f>
        <v>Кролевецкий Денис Владимирович</v>
      </c>
    </row>
    <row r="312" spans="1:4" hidden="1" x14ac:dyDescent="0.25">
      <c r="A312" s="29" t="s">
        <v>211</v>
      </c>
      <c r="B312" s="32" t="s">
        <v>534</v>
      </c>
      <c r="C312" s="32" t="s">
        <v>442</v>
      </c>
      <c r="D312" s="38" t="str">
        <f>VLOOKUP(Контракты[[#This Row],[Клиент]],Клиенты[#All],2,FALSE)</f>
        <v>Федотов Алексей Николаевич</v>
      </c>
    </row>
    <row r="313" spans="1:4" hidden="1" x14ac:dyDescent="0.25">
      <c r="A313" s="79" t="s">
        <v>211</v>
      </c>
      <c r="B313" s="80" t="s">
        <v>655</v>
      </c>
      <c r="C313" s="80" t="s">
        <v>402</v>
      </c>
      <c r="D313" s="81" t="str">
        <f>VLOOKUP(Контракты[[#This Row],[Клиент]],Клиенты[#All],2,FALSE)</f>
        <v>Коваленко Наталья Алексеевна</v>
      </c>
    </row>
    <row r="314" spans="1:4" hidden="1" x14ac:dyDescent="0.25">
      <c r="A314" s="29" t="s">
        <v>211</v>
      </c>
      <c r="B314" s="69" t="s">
        <v>629</v>
      </c>
      <c r="C314" s="69" t="s">
        <v>394</v>
      </c>
      <c r="D314" s="70" t="str">
        <f>VLOOKUP(Контракты[[#This Row],[Клиент]],Клиенты[#All],2,FALSE)</f>
        <v>Галичкин Владимир Николаевич</v>
      </c>
    </row>
    <row r="315" spans="1:4" hidden="1" x14ac:dyDescent="0.25">
      <c r="A315" s="29" t="s">
        <v>211</v>
      </c>
      <c r="B315" s="69" t="s">
        <v>629</v>
      </c>
      <c r="C315" s="69" t="s">
        <v>396</v>
      </c>
      <c r="D315" s="70" t="str">
        <f>VLOOKUP(Контракты[[#This Row],[Клиент]],Клиенты[#All],2,FALSE)</f>
        <v>Галичкин Владимир Николаевич</v>
      </c>
    </row>
    <row r="316" spans="1:4" x14ac:dyDescent="0.25">
      <c r="A316" s="29" t="s">
        <v>208</v>
      </c>
      <c r="B316" s="32" t="s">
        <v>290</v>
      </c>
      <c r="C316" s="32" t="s">
        <v>243</v>
      </c>
      <c r="D316" s="38" t="str">
        <f>VLOOKUP(Контракты[[#This Row],[Клиент]],Клиенты[#All],2,FALSE)</f>
        <v>Кролевецкий Денис Владимирович</v>
      </c>
    </row>
    <row r="317" spans="1:4" x14ac:dyDescent="0.25">
      <c r="A317" s="29" t="s">
        <v>208</v>
      </c>
      <c r="B317" s="32" t="s">
        <v>284</v>
      </c>
      <c r="C317" s="32" t="s">
        <v>242</v>
      </c>
      <c r="D317" s="38" t="str">
        <f>VLOOKUP(Контракты[[#This Row],[Клиент]],Клиенты[#All],2,FALSE)</f>
        <v>Мартюшов Андрей Евгеньевич</v>
      </c>
    </row>
    <row r="318" spans="1:4" hidden="1" x14ac:dyDescent="0.25">
      <c r="A318" s="29" t="s">
        <v>206</v>
      </c>
      <c r="B318" s="24" t="s">
        <v>6</v>
      </c>
      <c r="C318" s="24" t="s">
        <v>33</v>
      </c>
      <c r="D318" s="38" t="str">
        <f>VLOOKUP(Контракты[[#This Row],[Клиент]],Клиенты[#All],2,FALSE)</f>
        <v>Кузнецов Евгений Олегович</v>
      </c>
    </row>
    <row r="319" spans="1:4" hidden="1" x14ac:dyDescent="0.25">
      <c r="A319" s="29" t="s">
        <v>211</v>
      </c>
      <c r="B319" s="32" t="s">
        <v>6</v>
      </c>
      <c r="C319" s="32" t="s">
        <v>471</v>
      </c>
      <c r="D319" s="38" t="str">
        <f>VLOOKUP(Контракты[[#This Row],[Клиент]],Клиенты[#All],2,FALSE)</f>
        <v>Кузнецов Евгений Олегович</v>
      </c>
    </row>
    <row r="320" spans="1:4" hidden="1" x14ac:dyDescent="0.25">
      <c r="A320" s="54" t="s">
        <v>211</v>
      </c>
      <c r="B320" s="55" t="s">
        <v>568</v>
      </c>
      <c r="C320" s="55" t="s">
        <v>373</v>
      </c>
      <c r="D320" s="56" t="str">
        <f>VLOOKUP(Контракты[[#This Row],[Клиент]],Клиенты[#All],2,FALSE)</f>
        <v>Коваленко Наталья Алексеевна</v>
      </c>
    </row>
    <row r="321" spans="1:4" hidden="1" x14ac:dyDescent="0.25">
      <c r="A321" s="54" t="s">
        <v>211</v>
      </c>
      <c r="B321" s="55" t="s">
        <v>568</v>
      </c>
      <c r="C321" s="55" t="s">
        <v>375</v>
      </c>
      <c r="D321" s="56" t="str">
        <f>VLOOKUP(Контракты[[#This Row],[Клиент]],Клиенты[#All],2,FALSE)</f>
        <v>Коваленко Наталья Алексеевна</v>
      </c>
    </row>
    <row r="322" spans="1:4" hidden="1" x14ac:dyDescent="0.25">
      <c r="A322" s="29" t="s">
        <v>211</v>
      </c>
      <c r="B322" s="32" t="s">
        <v>454</v>
      </c>
      <c r="C322" s="32" t="s">
        <v>375</v>
      </c>
      <c r="D322" s="38" t="str">
        <f>VLOOKUP(Контракты[[#This Row],[Клиент]],Клиенты[#All],2,FALSE)</f>
        <v>Коваленко Наталья Алексеевна</v>
      </c>
    </row>
    <row r="323" spans="1:4" hidden="1" x14ac:dyDescent="0.25">
      <c r="A323" s="29" t="s">
        <v>211</v>
      </c>
      <c r="B323" s="32" t="s">
        <v>454</v>
      </c>
      <c r="C323" s="32" t="s">
        <v>480</v>
      </c>
      <c r="D323" s="38" t="str">
        <f>VLOOKUP(Контракты[[#This Row],[Клиент]],Клиенты[#All],2,FALSE)</f>
        <v>Коваленко Наталья Алексеевна</v>
      </c>
    </row>
    <row r="324" spans="1:4" x14ac:dyDescent="0.25">
      <c r="A324" s="29" t="s">
        <v>208</v>
      </c>
      <c r="B324" s="32" t="s">
        <v>284</v>
      </c>
      <c r="C324" s="32" t="s">
        <v>248</v>
      </c>
      <c r="D324" s="38" t="str">
        <f>VLOOKUP(Контракты[[#This Row],[Клиент]],Клиенты[#All],2,FALSE)</f>
        <v>Мартюшов Андрей Евгеньевич</v>
      </c>
    </row>
    <row r="325" spans="1:4" x14ac:dyDescent="0.25">
      <c r="A325" s="29" t="s">
        <v>208</v>
      </c>
      <c r="B325" s="32" t="s">
        <v>156</v>
      </c>
      <c r="C325" s="32" t="s">
        <v>260</v>
      </c>
      <c r="D325" s="38" t="str">
        <f>VLOOKUP(Контракты[[#This Row],[Клиент]],Клиенты[#All],2,FALSE)</f>
        <v>Коваленко Наталья Алексеевна</v>
      </c>
    </row>
    <row r="326" spans="1:4" x14ac:dyDescent="0.25">
      <c r="A326" s="29" t="s">
        <v>208</v>
      </c>
      <c r="B326" s="32" t="s">
        <v>156</v>
      </c>
      <c r="C326" s="32" t="s">
        <v>264</v>
      </c>
      <c r="D326" s="38" t="str">
        <f>VLOOKUP(Контракты[[#This Row],[Клиент]],Клиенты[#All],2,FALSE)</f>
        <v>Коваленко Наталья Алексеевна</v>
      </c>
    </row>
    <row r="327" spans="1:4" hidden="1" x14ac:dyDescent="0.25">
      <c r="A327" s="29" t="s">
        <v>206</v>
      </c>
      <c r="B327" s="24" t="s">
        <v>156</v>
      </c>
      <c r="C327" s="24" t="s">
        <v>670</v>
      </c>
      <c r="D327" s="38" t="str">
        <f>VLOOKUP(Контракты[[#This Row],[Клиент]],Клиенты[#All],2,FALSE)</f>
        <v>Коваленко Наталья Алексеевна</v>
      </c>
    </row>
    <row r="328" spans="1:4" hidden="1" x14ac:dyDescent="0.25">
      <c r="A328" s="29" t="s">
        <v>211</v>
      </c>
      <c r="B328" s="32" t="s">
        <v>484</v>
      </c>
      <c r="C328" s="32" t="s">
        <v>480</v>
      </c>
      <c r="D328" s="38" t="str">
        <f>VLOOKUP(Контракты[[#This Row],[Клиент]],Клиенты[#All],2,FALSE)</f>
        <v>Коваленко Наталья Алексеевна</v>
      </c>
    </row>
    <row r="329" spans="1:4" hidden="1" x14ac:dyDescent="0.25">
      <c r="A329" s="29" t="s">
        <v>207</v>
      </c>
      <c r="B329" s="32" t="s">
        <v>215</v>
      </c>
      <c r="C329" s="32" t="s">
        <v>23</v>
      </c>
      <c r="D329" s="38" t="str">
        <f>VLOOKUP(Контракты[[#This Row],[Клиент]],Клиенты[#All],2,FALSE)</f>
        <v>Федотов Алексей Николаевич</v>
      </c>
    </row>
    <row r="330" spans="1:4" hidden="1" x14ac:dyDescent="0.25">
      <c r="A330" s="54" t="s">
        <v>207</v>
      </c>
      <c r="B330" s="55" t="s">
        <v>594</v>
      </c>
      <c r="C330" s="55" t="s">
        <v>431</v>
      </c>
      <c r="D330" s="56" t="str">
        <f>VLOOKUP(Контракты[[#This Row],[Клиент]],Клиенты[#All],2,FALSE)</f>
        <v>Мусаев Мурад Исмаилович</v>
      </c>
    </row>
    <row r="331" spans="1:4" hidden="1" x14ac:dyDescent="0.25">
      <c r="A331" s="29" t="s">
        <v>206</v>
      </c>
      <c r="B331" s="24" t="s">
        <v>152</v>
      </c>
      <c r="C331" s="24" t="s">
        <v>669</v>
      </c>
      <c r="D331" s="38" t="str">
        <f>VLOOKUP(Контракты[[#This Row],[Клиент]],Клиенты[#All],2,FALSE)</f>
        <v>Кузнецов Евгений Олегович</v>
      </c>
    </row>
    <row r="332" spans="1:4" x14ac:dyDescent="0.25">
      <c r="A332" s="29" t="s">
        <v>208</v>
      </c>
      <c r="B332" s="32" t="s">
        <v>156</v>
      </c>
      <c r="C332" s="32" t="s">
        <v>266</v>
      </c>
      <c r="D332" s="38" t="str">
        <f>VLOOKUP(Контракты[[#This Row],[Клиент]],Клиенты[#All],2,FALSE)</f>
        <v>Коваленко Наталья Алексеевна</v>
      </c>
    </row>
    <row r="333" spans="1:4" hidden="1" x14ac:dyDescent="0.25">
      <c r="A333" s="29" t="s">
        <v>206</v>
      </c>
      <c r="B333" s="24" t="s">
        <v>95</v>
      </c>
      <c r="C333" s="24" t="s">
        <v>34</v>
      </c>
      <c r="D333" s="38" t="str">
        <f>VLOOKUP(Контракты[[#This Row],[Клиент]],Клиенты[#All],2,FALSE)</f>
        <v>Кузнецов Евгений Олегович</v>
      </c>
    </row>
    <row r="334" spans="1:4" hidden="1" x14ac:dyDescent="0.25">
      <c r="A334" s="29" t="s">
        <v>206</v>
      </c>
      <c r="B334" s="24" t="s">
        <v>158</v>
      </c>
      <c r="C334" s="24" t="s">
        <v>669</v>
      </c>
      <c r="D334" s="38" t="str">
        <f>VLOOKUP(Контракты[[#This Row],[Клиент]],Клиенты[#All],2,FALSE)</f>
        <v>Кузнецов Евгений Олегович</v>
      </c>
    </row>
    <row r="335" spans="1:4" hidden="1" x14ac:dyDescent="0.25">
      <c r="A335" s="29" t="s">
        <v>206</v>
      </c>
      <c r="B335" s="24" t="s">
        <v>158</v>
      </c>
      <c r="C335" s="24" t="s">
        <v>58</v>
      </c>
      <c r="D335" s="38" t="str">
        <f>VLOOKUP(Контракты[[#This Row],[Клиент]],Клиенты[#All],2,FALSE)</f>
        <v>Кузнецов Евгений Олегович</v>
      </c>
    </row>
    <row r="336" spans="1:4" hidden="1" x14ac:dyDescent="0.25">
      <c r="A336" s="29" t="s">
        <v>206</v>
      </c>
      <c r="B336" s="24" t="s">
        <v>158</v>
      </c>
      <c r="C336" s="24" t="s">
        <v>34</v>
      </c>
      <c r="D336" s="38" t="str">
        <f>VLOOKUP(Контракты[[#This Row],[Клиент]],Клиенты[#All],2,FALSE)</f>
        <v>Кузнецов Евгений Олегович</v>
      </c>
    </row>
    <row r="337" spans="1:4" hidden="1" x14ac:dyDescent="0.25">
      <c r="A337" s="29" t="s">
        <v>211</v>
      </c>
      <c r="B337" s="32" t="s">
        <v>158</v>
      </c>
      <c r="C337" s="32" t="s">
        <v>479</v>
      </c>
      <c r="D337" s="38" t="str">
        <f>VLOOKUP(Контракты[[#This Row],[Клиент]],Клиенты[#All],2,FALSE)</f>
        <v>Кузнецов Евгений Олегович</v>
      </c>
    </row>
    <row r="338" spans="1:4" hidden="1" x14ac:dyDescent="0.25">
      <c r="A338" s="29" t="s">
        <v>211</v>
      </c>
      <c r="B338" s="32" t="s">
        <v>158</v>
      </c>
      <c r="C338" s="32" t="s">
        <v>262</v>
      </c>
      <c r="D338" s="38" t="str">
        <f>VLOOKUP(Контракты[[#This Row],[Клиент]],Клиенты[#All],2,FALSE)</f>
        <v>Кузнецов Евгений Олегович</v>
      </c>
    </row>
    <row r="339" spans="1:4" hidden="1" x14ac:dyDescent="0.25">
      <c r="A339" s="29" t="s">
        <v>211</v>
      </c>
      <c r="B339" s="32" t="s">
        <v>513</v>
      </c>
      <c r="C339" s="32" t="s">
        <v>428</v>
      </c>
      <c r="D339" s="38" t="str">
        <f>VLOOKUP(Контракты[[#This Row],[Клиент]],Клиенты[#All],2,FALSE)</f>
        <v>Мусаев Мурад Исмаилович</v>
      </c>
    </row>
    <row r="340" spans="1:4" x14ac:dyDescent="0.25">
      <c r="A340" s="54" t="s">
        <v>208</v>
      </c>
      <c r="B340" s="55" t="s">
        <v>596</v>
      </c>
      <c r="C340" s="55" t="s">
        <v>267</v>
      </c>
      <c r="D340" s="56" t="str">
        <f>VLOOKUP(Контракты[[#This Row],[Клиент]],Клиенты[#All],2,FALSE)</f>
        <v>Мусаев Мурад Исмаилович</v>
      </c>
    </row>
    <row r="341" spans="1:4" x14ac:dyDescent="0.25">
      <c r="A341" s="29" t="s">
        <v>208</v>
      </c>
      <c r="B341" s="32" t="s">
        <v>292</v>
      </c>
      <c r="C341" s="32" t="s">
        <v>244</v>
      </c>
      <c r="D341" s="38" t="str">
        <f>VLOOKUP(Контракты[[#This Row],[Клиент]],Клиенты[#All],2,FALSE)</f>
        <v>Мусаев Мурад Исмаилович</v>
      </c>
    </row>
    <row r="342" spans="1:4" x14ac:dyDescent="0.25">
      <c r="A342" s="29" t="s">
        <v>208</v>
      </c>
      <c r="B342" s="23" t="s">
        <v>553</v>
      </c>
      <c r="C342" s="23" t="s">
        <v>260</v>
      </c>
      <c r="D342" s="38" t="str">
        <f>VLOOKUP(Контракты[[#This Row],[Клиент]],Клиенты[#All],2,FALSE)</f>
        <v>Мусаев Мурад Исмаилович</v>
      </c>
    </row>
    <row r="343" spans="1:4" hidden="1" x14ac:dyDescent="0.25">
      <c r="A343" s="54" t="s">
        <v>206</v>
      </c>
      <c r="B343" s="55" t="s">
        <v>553</v>
      </c>
      <c r="C343" s="55" t="s">
        <v>31</v>
      </c>
      <c r="D343" s="56" t="str">
        <f>VLOOKUP(Контракты[[#This Row],[Клиент]],Клиенты[#All],2,FALSE)</f>
        <v>Мусаев Мурад Исмаилович</v>
      </c>
    </row>
    <row r="344" spans="1:4" hidden="1" x14ac:dyDescent="0.25">
      <c r="A344" s="29" t="s">
        <v>207</v>
      </c>
      <c r="B344" s="32" t="s">
        <v>0</v>
      </c>
      <c r="C344" s="32" t="s">
        <v>23</v>
      </c>
      <c r="D344" s="38" t="str">
        <f>VLOOKUP(Контракты[[#This Row],[Клиент]],Клиенты[#All],2,FALSE)</f>
        <v>Федотов Алексей Николаевич</v>
      </c>
    </row>
    <row r="345" spans="1:4" hidden="1" x14ac:dyDescent="0.25">
      <c r="A345" s="29" t="s">
        <v>206</v>
      </c>
      <c r="B345" s="23" t="s">
        <v>0</v>
      </c>
      <c r="C345" s="23" t="s">
        <v>23</v>
      </c>
      <c r="D345" s="38" t="str">
        <f>VLOOKUP(Контракты[[#This Row],[Клиент]],Клиенты[#All],2,FALSE)</f>
        <v>Федотов Алексей Николаевич</v>
      </c>
    </row>
    <row r="346" spans="1:4" hidden="1" x14ac:dyDescent="0.25">
      <c r="A346" s="29" t="s">
        <v>206</v>
      </c>
      <c r="B346" s="23" t="s">
        <v>0</v>
      </c>
      <c r="C346" s="23" t="s">
        <v>33</v>
      </c>
      <c r="D346" s="38" t="str">
        <f>VLOOKUP(Контракты[[#This Row],[Клиент]],Клиенты[#All],2,FALSE)</f>
        <v>Федотов Алексей Николаевич</v>
      </c>
    </row>
    <row r="347" spans="1:4" hidden="1" x14ac:dyDescent="0.25">
      <c r="A347" s="29" t="s">
        <v>211</v>
      </c>
      <c r="B347" s="32" t="s">
        <v>0</v>
      </c>
      <c r="C347" s="32" t="s">
        <v>442</v>
      </c>
      <c r="D347" s="38" t="str">
        <f>VLOOKUP(Контракты[[#This Row],[Клиент]],Клиенты[#All],2,FALSE)</f>
        <v>Федотов Алексей Николаевич</v>
      </c>
    </row>
    <row r="348" spans="1:4" x14ac:dyDescent="0.25">
      <c r="A348" s="29" t="s">
        <v>208</v>
      </c>
      <c r="B348" s="32" t="s">
        <v>553</v>
      </c>
      <c r="C348" s="32" t="s">
        <v>266</v>
      </c>
      <c r="D348" s="38" t="str">
        <f>VLOOKUP(Контракты[[#This Row],[Клиент]],Клиенты[#All],2,FALSE)</f>
        <v>Мусаев Мурад Исмаилович</v>
      </c>
    </row>
    <row r="349" spans="1:4" hidden="1" x14ac:dyDescent="0.25">
      <c r="A349" s="29" t="s">
        <v>211</v>
      </c>
      <c r="B349" s="32" t="s">
        <v>515</v>
      </c>
      <c r="C349" s="32" t="s">
        <v>428</v>
      </c>
      <c r="D349" s="38" t="str">
        <f>VLOOKUP(Контракты[[#This Row],[Клиент]],Клиенты[#All],2,FALSE)</f>
        <v>Кузнецов Евгений Олегович</v>
      </c>
    </row>
    <row r="350" spans="1:4" hidden="1" x14ac:dyDescent="0.25">
      <c r="A350" s="29" t="s">
        <v>211</v>
      </c>
      <c r="B350" s="32" t="s">
        <v>503</v>
      </c>
      <c r="C350" s="32" t="s">
        <v>404</v>
      </c>
      <c r="D350" s="38" t="str">
        <f>VLOOKUP(Контракты[[#This Row],[Клиент]],Клиенты[#All],2,FALSE)</f>
        <v>Коваленко Наталья Алексеевна</v>
      </c>
    </row>
    <row r="351" spans="1:4" x14ac:dyDescent="0.25">
      <c r="A351" s="29" t="s">
        <v>208</v>
      </c>
      <c r="B351" s="32" t="s">
        <v>338</v>
      </c>
      <c r="C351" s="32" t="s">
        <v>265</v>
      </c>
      <c r="D351" s="38" t="str">
        <f>VLOOKUP(Контракты[[#This Row],[Клиент]],Клиенты[#All],2,FALSE)</f>
        <v>Мусаев Мурад Исмаилович</v>
      </c>
    </row>
    <row r="352" spans="1:4" x14ac:dyDescent="0.25">
      <c r="A352" s="29" t="s">
        <v>208</v>
      </c>
      <c r="B352" s="32" t="s">
        <v>340</v>
      </c>
      <c r="C352" s="32" t="s">
        <v>263</v>
      </c>
      <c r="D352" s="39" t="str">
        <f>VLOOKUP(Контракты[[#This Row],[Клиент]],Клиенты[#All],2,FALSE)</f>
        <v>Коваленко Наталья Алексеевна</v>
      </c>
    </row>
    <row r="353" spans="1:4" x14ac:dyDescent="0.25">
      <c r="A353" s="29" t="s">
        <v>208</v>
      </c>
      <c r="B353" s="32" t="s">
        <v>340</v>
      </c>
      <c r="C353" s="32" t="s">
        <v>267</v>
      </c>
      <c r="D353" s="38" t="str">
        <f>VLOOKUP(Контракты[[#This Row],[Клиент]],Клиенты[#All],2,FALSE)</f>
        <v>Коваленко Наталья Алексеевна</v>
      </c>
    </row>
    <row r="354" spans="1:4" hidden="1" x14ac:dyDescent="0.25">
      <c r="A354" s="29" t="s">
        <v>211</v>
      </c>
      <c r="B354" s="32" t="s">
        <v>464</v>
      </c>
      <c r="C354" s="32" t="s">
        <v>369</v>
      </c>
      <c r="D354" s="38" t="str">
        <f>VLOOKUP(Контракты[[#This Row],[Клиент]],Клиенты[#All],2,FALSE)</f>
        <v>Коваленко Наталья Алексеевна</v>
      </c>
    </row>
    <row r="355" spans="1:4" hidden="1" x14ac:dyDescent="0.25">
      <c r="A355" s="54" t="s">
        <v>207</v>
      </c>
      <c r="B355" s="55" t="s">
        <v>572</v>
      </c>
      <c r="C355" s="55" t="s">
        <v>348</v>
      </c>
      <c r="D355" s="56" t="str">
        <f>VLOOKUP(Контракты[[#This Row],[Клиент]],Клиенты[#All],2,FALSE)</f>
        <v>Мартюшов Андрей Евгеньевич</v>
      </c>
    </row>
    <row r="356" spans="1:4" hidden="1" x14ac:dyDescent="0.25">
      <c r="A356" s="54" t="s">
        <v>207</v>
      </c>
      <c r="B356" s="55" t="s">
        <v>572</v>
      </c>
      <c r="C356" s="55" t="s">
        <v>574</v>
      </c>
      <c r="D356" s="56" t="str">
        <f>VLOOKUP(Контракты[[#This Row],[Клиент]],Клиенты[#All],2,FALSE)</f>
        <v>Мартюшов Андрей Евгеньевич</v>
      </c>
    </row>
    <row r="357" spans="1:4" hidden="1" x14ac:dyDescent="0.25">
      <c r="A357" s="29" t="s">
        <v>206</v>
      </c>
      <c r="B357" s="24" t="s">
        <v>170</v>
      </c>
      <c r="C357" s="24" t="s">
        <v>24</v>
      </c>
      <c r="D357" s="38" t="str">
        <f>VLOOKUP(Контракты[[#This Row],[Клиент]],Клиенты[#All],2,FALSE)</f>
        <v>Кузнецов Евгений Олегович</v>
      </c>
    </row>
    <row r="358" spans="1:4" hidden="1" x14ac:dyDescent="0.25">
      <c r="A358" s="29" t="s">
        <v>206</v>
      </c>
      <c r="B358" s="24" t="s">
        <v>161</v>
      </c>
      <c r="C358" s="24" t="s">
        <v>24</v>
      </c>
      <c r="D358" s="38" t="str">
        <f>VLOOKUP(Контракты[[#This Row],[Клиент]],Клиенты[#All],2,FALSE)</f>
        <v>Федотов Алексей Николаевич</v>
      </c>
    </row>
    <row r="359" spans="1:4" hidden="1" x14ac:dyDescent="0.25">
      <c r="A359" s="29" t="s">
        <v>207</v>
      </c>
      <c r="B359" s="32" t="s">
        <v>212</v>
      </c>
      <c r="C359" s="32" t="s">
        <v>23</v>
      </c>
      <c r="D359" s="38" t="str">
        <f>VLOOKUP(Контракты[[#This Row],[Клиент]],Клиенты[#All],2,FALSE)</f>
        <v>Федотов Алексей Николаевич</v>
      </c>
    </row>
    <row r="360" spans="1:4" hidden="1" x14ac:dyDescent="0.25">
      <c r="A360" s="29" t="s">
        <v>207</v>
      </c>
      <c r="B360" s="32" t="s">
        <v>212</v>
      </c>
      <c r="C360" s="32" t="s">
        <v>24</v>
      </c>
      <c r="D360" s="38" t="str">
        <f>VLOOKUP(Контракты[[#This Row],[Клиент]],Клиенты[#All],2,FALSE)</f>
        <v>Федотов Алексей Николаевич</v>
      </c>
    </row>
    <row r="361" spans="1:4" hidden="1" x14ac:dyDescent="0.25">
      <c r="A361" s="29" t="s">
        <v>211</v>
      </c>
      <c r="B361" s="32" t="s">
        <v>517</v>
      </c>
      <c r="C361" s="32" t="s">
        <v>428</v>
      </c>
      <c r="D361" s="38" t="str">
        <f>VLOOKUP(Контракты[[#This Row],[Клиент]],Клиенты[#All],2,FALSE)</f>
        <v>Мартюшов Андрей Евгеньевич</v>
      </c>
    </row>
    <row r="362" spans="1:4" x14ac:dyDescent="0.25">
      <c r="A362" s="29" t="s">
        <v>208</v>
      </c>
      <c r="B362" s="32" t="s">
        <v>340</v>
      </c>
      <c r="C362" s="32" t="s">
        <v>268</v>
      </c>
      <c r="D362" s="38" t="str">
        <f>VLOOKUP(Контракты[[#This Row],[Клиент]],Клиенты[#All],2,FALSE)</f>
        <v>Коваленко Наталья Алексеевна</v>
      </c>
    </row>
    <row r="363" spans="1:4" x14ac:dyDescent="0.25">
      <c r="A363" s="29" t="s">
        <v>208</v>
      </c>
      <c r="B363" s="32" t="s">
        <v>322</v>
      </c>
      <c r="C363" s="32" t="s">
        <v>260</v>
      </c>
      <c r="D363" s="38" t="str">
        <f>VLOOKUP(Контракты[[#This Row],[Клиент]],Клиенты[#All],2,FALSE)</f>
        <v>Коваленко Наталья Алексеевна</v>
      </c>
    </row>
    <row r="364" spans="1:4" x14ac:dyDescent="0.25">
      <c r="A364" s="29" t="s">
        <v>208</v>
      </c>
      <c r="B364" s="32" t="s">
        <v>163</v>
      </c>
      <c r="C364" s="32" t="s">
        <v>263</v>
      </c>
      <c r="D364" s="38" t="str">
        <f>VLOOKUP(Контракты[[#This Row],[Клиент]],Клиенты[#All],2,FALSE)</f>
        <v>Грызунова Лариса Владимировна</v>
      </c>
    </row>
    <row r="365" spans="1:4" x14ac:dyDescent="0.25">
      <c r="A365" s="29" t="s">
        <v>208</v>
      </c>
      <c r="B365" s="32" t="s">
        <v>163</v>
      </c>
      <c r="C365" s="32" t="s">
        <v>265</v>
      </c>
      <c r="D365" s="38" t="str">
        <f>VLOOKUP(Контракты[[#This Row],[Клиент]],Клиенты[#All],2,FALSE)</f>
        <v>Грызунова Лариса Владимировна</v>
      </c>
    </row>
    <row r="366" spans="1:4" x14ac:dyDescent="0.25">
      <c r="A366" s="29" t="s">
        <v>208</v>
      </c>
      <c r="B366" s="32" t="s">
        <v>163</v>
      </c>
      <c r="C366" s="32" t="s">
        <v>267</v>
      </c>
      <c r="D366" s="38" t="str">
        <f>VLOOKUP(Контракты[[#This Row],[Клиент]],Клиенты[#All],2,FALSE)</f>
        <v>Грызунова Лариса Владимировна</v>
      </c>
    </row>
    <row r="367" spans="1:4" hidden="1" x14ac:dyDescent="0.25">
      <c r="A367" s="29" t="s">
        <v>206</v>
      </c>
      <c r="B367" s="24" t="s">
        <v>163</v>
      </c>
      <c r="C367" s="23" t="s">
        <v>668</v>
      </c>
      <c r="D367" s="38" t="str">
        <f>VLOOKUP(Контракты[[#This Row],[Клиент]],Клиенты[#All],2,FALSE)</f>
        <v>Грызунова Лариса Владимировна</v>
      </c>
    </row>
    <row r="368" spans="1:4" hidden="1" x14ac:dyDescent="0.25">
      <c r="A368" s="29" t="s">
        <v>206</v>
      </c>
      <c r="B368" s="24" t="s">
        <v>163</v>
      </c>
      <c r="C368" s="24" t="s">
        <v>669</v>
      </c>
      <c r="D368" s="38" t="str">
        <f>VLOOKUP(Контракты[[#This Row],[Клиент]],Клиенты[#All],2,FALSE)</f>
        <v>Грызунова Лариса Владимировна</v>
      </c>
    </row>
    <row r="369" spans="1:4" hidden="1" x14ac:dyDescent="0.25">
      <c r="A369" s="77" t="s">
        <v>206</v>
      </c>
      <c r="B369" s="25" t="s">
        <v>163</v>
      </c>
      <c r="C369" s="25" t="s">
        <v>670</v>
      </c>
      <c r="D369" s="39" t="str">
        <f>VLOOKUP(Контракты[[#This Row],[Клиент]],Клиенты[#All],2,FALSE)</f>
        <v>Грызунова Лариса Владимировна</v>
      </c>
    </row>
    <row r="370" spans="1:4" hidden="1" x14ac:dyDescent="0.25">
      <c r="A370" s="29" t="s">
        <v>206</v>
      </c>
      <c r="B370" s="24" t="s">
        <v>163</v>
      </c>
      <c r="C370" s="24" t="s">
        <v>58</v>
      </c>
      <c r="D370" s="38" t="str">
        <f>VLOOKUP(Контракты[[#This Row],[Клиент]],Клиенты[#All],2,FALSE)</f>
        <v>Грызунова Лариса Владимировна</v>
      </c>
    </row>
    <row r="371" spans="1:4" hidden="1" x14ac:dyDescent="0.25">
      <c r="A371" s="29" t="s">
        <v>206</v>
      </c>
      <c r="B371" s="24" t="s">
        <v>163</v>
      </c>
      <c r="C371" s="24" t="s">
        <v>23</v>
      </c>
      <c r="D371" s="38" t="str">
        <f>VLOOKUP(Контракты[[#This Row],[Клиент]],Клиенты[#All],2,FALSE)</f>
        <v>Грызунова Лариса Владимировна</v>
      </c>
    </row>
    <row r="372" spans="1:4" hidden="1" x14ac:dyDescent="0.25">
      <c r="A372" s="29" t="s">
        <v>206</v>
      </c>
      <c r="B372" s="24" t="s">
        <v>163</v>
      </c>
      <c r="C372" s="24" t="s">
        <v>24</v>
      </c>
      <c r="D372" s="38" t="str">
        <f>VLOOKUP(Контракты[[#This Row],[Клиент]],Клиенты[#All],2,FALSE)</f>
        <v>Грызунова Лариса Владимировна</v>
      </c>
    </row>
    <row r="373" spans="1:4" hidden="1" x14ac:dyDescent="0.25">
      <c r="A373" s="29" t="s">
        <v>206</v>
      </c>
      <c r="B373" s="24" t="s">
        <v>163</v>
      </c>
      <c r="C373" s="24" t="s">
        <v>33</v>
      </c>
      <c r="D373" s="38" t="str">
        <f>VLOOKUP(Контракты[[#This Row],[Клиент]],Клиенты[#All],2,FALSE)</f>
        <v>Грызунова Лариса Владимировна</v>
      </c>
    </row>
    <row r="374" spans="1:4" hidden="1" x14ac:dyDescent="0.25">
      <c r="A374" s="54" t="s">
        <v>207</v>
      </c>
      <c r="B374" s="24" t="s">
        <v>163</v>
      </c>
      <c r="C374" s="55" t="s">
        <v>222</v>
      </c>
      <c r="D374" s="56" t="str">
        <f>VLOOKUP(Контракты[[#This Row],[Клиент]],Клиенты[#All],2,FALSE)</f>
        <v>Грызунова Лариса Владимировна</v>
      </c>
    </row>
    <row r="375" spans="1:4" x14ac:dyDescent="0.25">
      <c r="A375" s="29" t="s">
        <v>208</v>
      </c>
      <c r="B375" s="32" t="s">
        <v>163</v>
      </c>
      <c r="C375" s="32" t="s">
        <v>268</v>
      </c>
      <c r="D375" s="38" t="str">
        <f>VLOOKUP(Контракты[[#This Row],[Клиент]],Клиенты[#All],2,FALSE)</f>
        <v>Грызунова Лариса Владимировна</v>
      </c>
    </row>
    <row r="376" spans="1:4" x14ac:dyDescent="0.25">
      <c r="A376" s="29" t="s">
        <v>208</v>
      </c>
      <c r="B376" s="32" t="s">
        <v>558</v>
      </c>
      <c r="C376" s="32" t="s">
        <v>270</v>
      </c>
      <c r="D376" s="38" t="str">
        <f>VLOOKUP(Контракты[[#This Row],[Клиент]],Клиенты[#All],2,FALSE)</f>
        <v>Мусаев Мурад Исмаилович</v>
      </c>
    </row>
    <row r="377" spans="1:4" x14ac:dyDescent="0.25">
      <c r="A377" s="29" t="s">
        <v>208</v>
      </c>
      <c r="B377" s="32" t="s">
        <v>325</v>
      </c>
      <c r="C377" s="32" t="s">
        <v>263</v>
      </c>
      <c r="D377" s="38" t="str">
        <f>VLOOKUP(Контракты[[#This Row],[Клиент]],Клиенты[#All],2,FALSE)</f>
        <v>Мусаев Мурад Исмаилович</v>
      </c>
    </row>
    <row r="378" spans="1:4" x14ac:dyDescent="0.25">
      <c r="A378" s="29" t="s">
        <v>208</v>
      </c>
      <c r="B378" s="32" t="s">
        <v>325</v>
      </c>
      <c r="C378" s="32" t="s">
        <v>265</v>
      </c>
      <c r="D378" s="38" t="str">
        <f>VLOOKUP(Контракты[[#This Row],[Клиент]],Клиенты[#All],2,FALSE)</f>
        <v>Мусаев Мурад Исмаилович</v>
      </c>
    </row>
    <row r="379" spans="1:4" x14ac:dyDescent="0.25">
      <c r="A379" s="29" t="s">
        <v>208</v>
      </c>
      <c r="B379" s="32" t="s">
        <v>325</v>
      </c>
      <c r="C379" s="32" t="s">
        <v>267</v>
      </c>
      <c r="D379" s="38" t="str">
        <f>VLOOKUP(Контракты[[#This Row],[Клиент]],Клиенты[#All],2,FALSE)</f>
        <v>Мусаев Мурад Исмаилович</v>
      </c>
    </row>
    <row r="380" spans="1:4" x14ac:dyDescent="0.25">
      <c r="A380" s="29" t="s">
        <v>208</v>
      </c>
      <c r="B380" s="32" t="s">
        <v>325</v>
      </c>
      <c r="C380" s="32" t="s">
        <v>268</v>
      </c>
      <c r="D380" s="38" t="str">
        <f>VLOOKUP(Контракты[[#This Row],[Клиент]],Клиенты[#All],2,FALSE)</f>
        <v>Мусаев Мурад Исмаилович</v>
      </c>
    </row>
    <row r="381" spans="1:4" x14ac:dyDescent="0.25">
      <c r="A381" s="29" t="s">
        <v>208</v>
      </c>
      <c r="B381" s="32" t="s">
        <v>274</v>
      </c>
      <c r="C381" s="32" t="s">
        <v>239</v>
      </c>
      <c r="D381" s="38" t="str">
        <f>VLOOKUP(Контракты[[#This Row],[Клиент]],Клиенты[#All],2,FALSE)</f>
        <v>Мартюшов Андрей Евгеньевич</v>
      </c>
    </row>
    <row r="382" spans="1:4" x14ac:dyDescent="0.25">
      <c r="A382" s="29" t="s">
        <v>208</v>
      </c>
      <c r="B382" s="32" t="s">
        <v>274</v>
      </c>
      <c r="C382" s="32" t="s">
        <v>240</v>
      </c>
      <c r="D382" s="38" t="str">
        <f>VLOOKUP(Контракты[[#This Row],[Клиент]],Клиенты[#All],2,FALSE)</f>
        <v>Мартюшов Андрей Евгеньевич</v>
      </c>
    </row>
    <row r="383" spans="1:4" x14ac:dyDescent="0.25">
      <c r="A383" s="29" t="s">
        <v>208</v>
      </c>
      <c r="B383" s="32" t="s">
        <v>274</v>
      </c>
      <c r="C383" s="32" t="s">
        <v>245</v>
      </c>
      <c r="D383" s="38" t="str">
        <f>VLOOKUP(Контракты[[#This Row],[Клиент]],Клиенты[#All],2,FALSE)</f>
        <v>Мартюшов Андрей Евгеньевич</v>
      </c>
    </row>
    <row r="384" spans="1:4" x14ac:dyDescent="0.25">
      <c r="A384" s="29" t="s">
        <v>208</v>
      </c>
      <c r="B384" s="32" t="s">
        <v>274</v>
      </c>
      <c r="C384" s="32" t="s">
        <v>248</v>
      </c>
      <c r="D384" s="38" t="str">
        <f>VLOOKUP(Контракты[[#This Row],[Клиент]],Клиенты[#All],2,FALSE)</f>
        <v>Мартюшов Андрей Евгеньевич</v>
      </c>
    </row>
    <row r="385" spans="1:4" x14ac:dyDescent="0.25">
      <c r="A385" s="29" t="s">
        <v>208</v>
      </c>
      <c r="B385" s="32" t="s">
        <v>274</v>
      </c>
      <c r="C385" s="32" t="s">
        <v>257</v>
      </c>
      <c r="D385" s="38" t="str">
        <f>VLOOKUP(Контракты[[#This Row],[Клиент]],Клиенты[#All],2,FALSE)</f>
        <v>Мартюшов Андрей Евгеньевич</v>
      </c>
    </row>
    <row r="386" spans="1:4" x14ac:dyDescent="0.25">
      <c r="A386" s="29" t="s">
        <v>208</v>
      </c>
      <c r="B386" s="32" t="s">
        <v>274</v>
      </c>
      <c r="C386" s="32" t="s">
        <v>260</v>
      </c>
      <c r="D386" s="38" t="str">
        <f>VLOOKUP(Контракты[[#This Row],[Клиент]],Клиенты[#All],2,FALSE)</f>
        <v>Мартюшов Андрей Евгеньевич</v>
      </c>
    </row>
    <row r="387" spans="1:4" x14ac:dyDescent="0.25">
      <c r="A387" s="29" t="s">
        <v>208</v>
      </c>
      <c r="B387" s="32" t="s">
        <v>274</v>
      </c>
      <c r="C387" s="32" t="s">
        <v>263</v>
      </c>
      <c r="D387" s="38" t="str">
        <f>VLOOKUP(Контракты[[#This Row],[Клиент]],Клиенты[#All],2,FALSE)</f>
        <v>Мартюшов Андрей Евгеньевич</v>
      </c>
    </row>
    <row r="388" spans="1:4" x14ac:dyDescent="0.25">
      <c r="A388" s="29" t="s">
        <v>208</v>
      </c>
      <c r="B388" s="32" t="s">
        <v>274</v>
      </c>
      <c r="C388" s="32" t="s">
        <v>264</v>
      </c>
      <c r="D388" s="38" t="str">
        <f>VLOOKUP(Контракты[[#This Row],[Клиент]],Клиенты[#All],2,FALSE)</f>
        <v>Мартюшов Андрей Евгеньевич</v>
      </c>
    </row>
    <row r="389" spans="1:4" x14ac:dyDescent="0.25">
      <c r="A389" s="29" t="s">
        <v>208</v>
      </c>
      <c r="B389" s="32" t="s">
        <v>274</v>
      </c>
      <c r="C389" s="32" t="s">
        <v>265</v>
      </c>
      <c r="D389" s="38" t="str">
        <f>VLOOKUP(Контракты[[#This Row],[Клиент]],Клиенты[#All],2,FALSE)</f>
        <v>Мартюшов Андрей Евгеньевич</v>
      </c>
    </row>
    <row r="390" spans="1:4" x14ac:dyDescent="0.25">
      <c r="A390" s="29" t="s">
        <v>208</v>
      </c>
      <c r="B390" s="32" t="s">
        <v>274</v>
      </c>
      <c r="C390" s="32" t="s">
        <v>266</v>
      </c>
      <c r="D390" s="38" t="str">
        <f>VLOOKUP(Контракты[[#This Row],[Клиент]],Клиенты[#All],2,FALSE)</f>
        <v>Мартюшов Андрей Евгеньевич</v>
      </c>
    </row>
    <row r="391" spans="1:4" x14ac:dyDescent="0.25">
      <c r="A391" s="29" t="s">
        <v>208</v>
      </c>
      <c r="B391" s="32" t="s">
        <v>274</v>
      </c>
      <c r="C391" s="32" t="s">
        <v>267</v>
      </c>
      <c r="D391" s="38" t="str">
        <f>VLOOKUP(Контракты[[#This Row],[Клиент]],Клиенты[#All],2,FALSE)</f>
        <v>Мартюшов Андрей Евгеньевич</v>
      </c>
    </row>
    <row r="392" spans="1:4" x14ac:dyDescent="0.25">
      <c r="A392" s="29" t="s">
        <v>208</v>
      </c>
      <c r="B392" s="32" t="s">
        <v>274</v>
      </c>
      <c r="C392" s="32" t="s">
        <v>268</v>
      </c>
      <c r="D392" s="38" t="str">
        <f>VLOOKUP(Контракты[[#This Row],[Клиент]],Клиенты[#All],2,FALSE)</f>
        <v>Мартюшов Андрей Евгеньевич</v>
      </c>
    </row>
    <row r="393" spans="1:4" x14ac:dyDescent="0.25">
      <c r="A393" s="29" t="s">
        <v>208</v>
      </c>
      <c r="B393" s="32" t="s">
        <v>274</v>
      </c>
      <c r="C393" s="32" t="s">
        <v>269</v>
      </c>
      <c r="D393" s="38" t="str">
        <f>VLOOKUP(Контракты[[#This Row],[Клиент]],Клиенты[#All],2,FALSE)</f>
        <v>Мартюшов Андрей Евгеньевич</v>
      </c>
    </row>
    <row r="394" spans="1:4" x14ac:dyDescent="0.25">
      <c r="A394" s="29" t="s">
        <v>208</v>
      </c>
      <c r="B394" s="32" t="s">
        <v>274</v>
      </c>
      <c r="C394" s="32" t="s">
        <v>270</v>
      </c>
      <c r="D394" s="38" t="str">
        <f>VLOOKUP(Контракты[[#This Row],[Клиент]],Клиенты[#All],2,FALSE)</f>
        <v>Мартюшов Андрей Евгеньевич</v>
      </c>
    </row>
    <row r="395" spans="1:4" x14ac:dyDescent="0.25">
      <c r="A395" s="29" t="s">
        <v>208</v>
      </c>
      <c r="B395" s="32" t="s">
        <v>167</v>
      </c>
      <c r="C395" s="32" t="s">
        <v>267</v>
      </c>
      <c r="D395" s="38" t="str">
        <f>VLOOKUP(Контракты[[#This Row],[Клиент]],Клиенты[#All],2,FALSE)</f>
        <v>Кузнецов Евгений Олегович</v>
      </c>
    </row>
    <row r="396" spans="1:4" hidden="1" x14ac:dyDescent="0.25">
      <c r="A396" s="29" t="s">
        <v>206</v>
      </c>
      <c r="B396" s="24" t="s">
        <v>167</v>
      </c>
      <c r="C396" s="24" t="s">
        <v>670</v>
      </c>
      <c r="D396" s="38" t="str">
        <f>VLOOKUP(Контракты[[#This Row],[Клиент]],Клиенты[#All],2,FALSE)</f>
        <v>Кузнецов Евгений Олегович</v>
      </c>
    </row>
    <row r="397" spans="1:4" hidden="1" x14ac:dyDescent="0.25">
      <c r="A397" s="29" t="s">
        <v>206</v>
      </c>
      <c r="B397" s="24" t="s">
        <v>167</v>
      </c>
      <c r="C397" s="24" t="s">
        <v>24</v>
      </c>
      <c r="D397" s="38" t="str">
        <f>VLOOKUP(Контракты[[#This Row],[Клиент]],Клиенты[#All],2,FALSE)</f>
        <v>Кузнецов Евгений Олегович</v>
      </c>
    </row>
    <row r="398" spans="1:4" hidden="1" x14ac:dyDescent="0.25">
      <c r="A398" s="29" t="s">
        <v>206</v>
      </c>
      <c r="B398" s="24" t="s">
        <v>167</v>
      </c>
      <c r="C398" s="24" t="s">
        <v>33</v>
      </c>
      <c r="D398" s="38" t="str">
        <f>VLOOKUP(Контракты[[#This Row],[Клиент]],Клиенты[#All],2,FALSE)</f>
        <v>Кузнецов Евгений Олегович</v>
      </c>
    </row>
    <row r="399" spans="1:4" x14ac:dyDescent="0.25">
      <c r="A399" s="29" t="s">
        <v>208</v>
      </c>
      <c r="B399" s="32" t="s">
        <v>167</v>
      </c>
      <c r="C399" s="32" t="s">
        <v>268</v>
      </c>
      <c r="D399" s="38" t="str">
        <f>VLOOKUP(Контракты[[#This Row],[Клиент]],Клиенты[#All],2,FALSE)</f>
        <v>Кузнецов Евгений Олегович</v>
      </c>
    </row>
    <row r="400" spans="1:4" x14ac:dyDescent="0.25">
      <c r="A400" s="29" t="s">
        <v>208</v>
      </c>
      <c r="B400" s="32" t="s">
        <v>551</v>
      </c>
      <c r="C400" s="32" t="s">
        <v>257</v>
      </c>
      <c r="D400" s="38" t="str">
        <f>VLOOKUP(Контракты[[#This Row],[Клиент]],Клиенты[#All],2,FALSE)</f>
        <v>Грызунов Роман Николаевич</v>
      </c>
    </row>
    <row r="401" spans="1:4" hidden="1" x14ac:dyDescent="0.25">
      <c r="A401" s="29" t="s">
        <v>211</v>
      </c>
      <c r="B401" s="32" t="s">
        <v>294</v>
      </c>
      <c r="C401" s="32" t="s">
        <v>353</v>
      </c>
      <c r="D401" s="38" t="str">
        <f>VLOOKUP(Контракты[[#This Row],[Клиент]],Клиенты[#All],2,FALSE)</f>
        <v>Кролевецкий Денис Владимирович</v>
      </c>
    </row>
    <row r="402" spans="1:4" hidden="1" x14ac:dyDescent="0.25">
      <c r="A402" s="29" t="s">
        <v>211</v>
      </c>
      <c r="B402" s="32" t="s">
        <v>294</v>
      </c>
      <c r="C402" s="69" t="s">
        <v>398</v>
      </c>
      <c r="D402" s="70" t="str">
        <f>VLOOKUP(Контракты[[#This Row],[Клиент]],Клиенты[#All],2,FALSE)</f>
        <v>Кролевецкий Денис Владимирович</v>
      </c>
    </row>
    <row r="403" spans="1:4" hidden="1" x14ac:dyDescent="0.25">
      <c r="A403" s="29" t="s">
        <v>211</v>
      </c>
      <c r="B403" s="32" t="s">
        <v>294</v>
      </c>
      <c r="C403" s="32" t="s">
        <v>446</v>
      </c>
      <c r="D403" s="38" t="str">
        <f>VLOOKUP(Контракты[[#This Row],[Клиент]],Клиенты[#All],2,FALSE)</f>
        <v>Кролевецкий Денис Владимирович</v>
      </c>
    </row>
    <row r="404" spans="1:4" hidden="1" x14ac:dyDescent="0.25">
      <c r="A404" s="29" t="s">
        <v>206</v>
      </c>
      <c r="B404" s="24" t="s">
        <v>172</v>
      </c>
      <c r="C404" s="24" t="s">
        <v>33</v>
      </c>
      <c r="D404" s="38" t="str">
        <f>VLOOKUP(Контракты[[#This Row],[Клиент]],Клиенты[#All],2,FALSE)</f>
        <v>Кузнецов Евгений Олегович</v>
      </c>
    </row>
    <row r="405" spans="1:4" x14ac:dyDescent="0.25">
      <c r="A405" s="29" t="s">
        <v>208</v>
      </c>
      <c r="B405" s="32" t="s">
        <v>294</v>
      </c>
      <c r="C405" s="32" t="s">
        <v>244</v>
      </c>
      <c r="D405" s="38" t="str">
        <f>VLOOKUP(Контракты[[#This Row],[Клиент]],Клиенты[#All],2,FALSE)</f>
        <v>Кролевецкий Денис Владимирович</v>
      </c>
    </row>
    <row r="406" spans="1:4" x14ac:dyDescent="0.25">
      <c r="A406" s="29" t="s">
        <v>208</v>
      </c>
      <c r="B406" s="32" t="s">
        <v>298</v>
      </c>
      <c r="C406" s="32" t="s">
        <v>240</v>
      </c>
      <c r="D406" s="38" t="str">
        <f>VLOOKUP(Контракты[[#This Row],[Клиент]],Клиенты[#All],2,FALSE)</f>
        <v>Мартюшов Андрей Евгеньевич</v>
      </c>
    </row>
    <row r="407" spans="1:4" hidden="1" x14ac:dyDescent="0.25">
      <c r="A407" s="54" t="s">
        <v>211</v>
      </c>
      <c r="B407" s="69" t="s">
        <v>627</v>
      </c>
      <c r="C407" s="69" t="s">
        <v>394</v>
      </c>
      <c r="D407" s="70" t="str">
        <f>VLOOKUP(Контракты[[#This Row],[Клиент]],Клиенты[#All],2,FALSE)</f>
        <v>Галичкин Владимир Николаевич</v>
      </c>
    </row>
    <row r="408" spans="1:4" hidden="1" x14ac:dyDescent="0.25">
      <c r="A408" s="29" t="s">
        <v>206</v>
      </c>
      <c r="B408" s="24" t="s">
        <v>174</v>
      </c>
      <c r="C408" s="24" t="s">
        <v>34</v>
      </c>
      <c r="D408" s="38" t="str">
        <f>VLOOKUP(Контракты[[#This Row],[Клиент]],Клиенты[#All],2,FALSE)</f>
        <v>Кузнецов Евгений Олегович</v>
      </c>
    </row>
    <row r="409" spans="1:4" hidden="1" x14ac:dyDescent="0.25">
      <c r="A409" s="29" t="s">
        <v>206</v>
      </c>
      <c r="B409" s="24" t="s">
        <v>176</v>
      </c>
      <c r="C409" s="24" t="s">
        <v>31</v>
      </c>
      <c r="D409" s="38" t="str">
        <f>VLOOKUP(Контракты[[#This Row],[Клиент]],Клиенты[#All],2,FALSE)</f>
        <v>Кузнецов Евгений Олегович</v>
      </c>
    </row>
    <row r="410" spans="1:4" hidden="1" x14ac:dyDescent="0.25">
      <c r="A410" s="29" t="s">
        <v>211</v>
      </c>
      <c r="B410" s="32" t="s">
        <v>505</v>
      </c>
      <c r="C410" s="32" t="s">
        <v>228</v>
      </c>
      <c r="D410" s="38" t="str">
        <f>VLOOKUP(Контракты[[#This Row],[Клиент]],Клиенты[#All],2,FALSE)</f>
        <v>Мартюшов Андрей Евгеньевич</v>
      </c>
    </row>
    <row r="411" spans="1:4" hidden="1" x14ac:dyDescent="0.25">
      <c r="A411" s="29" t="s">
        <v>206</v>
      </c>
      <c r="B411" s="24" t="s">
        <v>193</v>
      </c>
      <c r="C411" s="23" t="s">
        <v>24</v>
      </c>
      <c r="D411" s="38" t="str">
        <f>VLOOKUP(Контракты[[#This Row],[Клиент]],Клиенты[#All],2,FALSE)</f>
        <v>Федотов Алексей Николаевич</v>
      </c>
    </row>
    <row r="412" spans="1:4" hidden="1" x14ac:dyDescent="0.25">
      <c r="A412" s="29" t="s">
        <v>206</v>
      </c>
      <c r="B412" s="24" t="s">
        <v>178</v>
      </c>
      <c r="C412" s="24" t="s">
        <v>34</v>
      </c>
      <c r="D412" s="38" t="str">
        <f>VLOOKUP(Контракты[[#This Row],[Клиент]],Клиенты[#All],2,FALSE)</f>
        <v>Кузнецов Евгений Олегович</v>
      </c>
    </row>
    <row r="413" spans="1:4" hidden="1" x14ac:dyDescent="0.25">
      <c r="A413" s="29" t="s">
        <v>206</v>
      </c>
      <c r="B413" s="24" t="s">
        <v>180</v>
      </c>
      <c r="C413" s="24" t="s">
        <v>58</v>
      </c>
      <c r="D413" s="38" t="str">
        <f>VLOOKUP(Контракты[[#This Row],[Клиент]],Клиенты[#All],2,FALSE)</f>
        <v>Кузнецов Евгений Олегович</v>
      </c>
    </row>
    <row r="414" spans="1:4" hidden="1" x14ac:dyDescent="0.25">
      <c r="A414" s="29" t="s">
        <v>206</v>
      </c>
      <c r="B414" s="24" t="s">
        <v>180</v>
      </c>
      <c r="C414" s="24" t="s">
        <v>34</v>
      </c>
      <c r="D414" s="38" t="str">
        <f>VLOOKUP(Контракты[[#This Row],[Клиент]],Клиенты[#All],2,FALSE)</f>
        <v>Кузнецов Евгений Олегович</v>
      </c>
    </row>
    <row r="415" spans="1:4" hidden="1" x14ac:dyDescent="0.25">
      <c r="A415" s="29" t="s">
        <v>206</v>
      </c>
      <c r="B415" s="24" t="s">
        <v>182</v>
      </c>
      <c r="C415" s="24" t="s">
        <v>34</v>
      </c>
      <c r="D415" s="38" t="str">
        <f>VLOOKUP(Контракты[[#This Row],[Клиент]],Клиенты[#All],2,FALSE)</f>
        <v>Кузнецов Евгений Олегович</v>
      </c>
    </row>
    <row r="416" spans="1:4" x14ac:dyDescent="0.25">
      <c r="A416" s="29" t="s">
        <v>208</v>
      </c>
      <c r="B416" s="32" t="s">
        <v>298</v>
      </c>
      <c r="C416" s="32" t="s">
        <v>245</v>
      </c>
      <c r="D416" s="38" t="str">
        <f>VLOOKUP(Контракты[[#This Row],[Клиент]],Клиенты[#All],2,FALSE)</f>
        <v>Мартюшов Андрей Евгеньевич</v>
      </c>
    </row>
    <row r="417" spans="1:4" hidden="1" x14ac:dyDescent="0.25">
      <c r="A417" s="29" t="s">
        <v>206</v>
      </c>
      <c r="B417" s="24" t="s">
        <v>191</v>
      </c>
      <c r="C417" s="24" t="s">
        <v>23</v>
      </c>
      <c r="D417" s="38" t="str">
        <f>VLOOKUP(Контракты[[#This Row],[Клиент]],Клиенты[#All],2,FALSE)</f>
        <v>Коваленко Наталья Алексеевна</v>
      </c>
    </row>
    <row r="418" spans="1:4" hidden="1" x14ac:dyDescent="0.25">
      <c r="A418" s="76" t="s">
        <v>211</v>
      </c>
      <c r="B418" s="23" t="s">
        <v>448</v>
      </c>
      <c r="C418" s="23" t="s">
        <v>361</v>
      </c>
      <c r="D418" s="53" t="str">
        <f>VLOOKUP(Контракты[[#This Row],[Клиент]],Клиенты[#All],2,FALSE)</f>
        <v>Коваленко Наталья Алексеевна</v>
      </c>
    </row>
    <row r="419" spans="1:4" hidden="1" x14ac:dyDescent="0.25">
      <c r="A419" s="29" t="s">
        <v>211</v>
      </c>
      <c r="B419" s="32" t="s">
        <v>448</v>
      </c>
      <c r="C419" s="32" t="s">
        <v>373</v>
      </c>
      <c r="D419" s="53" t="str">
        <f>VLOOKUP(Контракты[[#This Row],[Клиент]],Клиенты[#All],2,FALSE)</f>
        <v>Коваленко Наталья Алексеевна</v>
      </c>
    </row>
    <row r="420" spans="1:4" hidden="1" x14ac:dyDescent="0.25">
      <c r="A420" s="29" t="s">
        <v>211</v>
      </c>
      <c r="B420" s="55" t="s">
        <v>462</v>
      </c>
      <c r="C420" s="55" t="s">
        <v>369</v>
      </c>
      <c r="D420" s="56" t="str">
        <f>VLOOKUP(Контракты[[#This Row],[Клиент]],Клиенты[#All],2,FALSE)</f>
        <v>Кузнецов Евгений Олегович</v>
      </c>
    </row>
    <row r="421" spans="1:4" hidden="1" x14ac:dyDescent="0.25">
      <c r="A421" s="29" t="s">
        <v>211</v>
      </c>
      <c r="B421" s="55" t="s">
        <v>462</v>
      </c>
      <c r="C421" s="55" t="s">
        <v>482</v>
      </c>
      <c r="D421" s="56" t="str">
        <f>VLOOKUP(Контракты[[#This Row],[Клиент]],Клиенты[#All],2,FALSE)</f>
        <v>Кузнецов Евгений Олегович</v>
      </c>
    </row>
    <row r="422" spans="1:4" hidden="1" x14ac:dyDescent="0.25">
      <c r="A422" s="29" t="s">
        <v>211</v>
      </c>
      <c r="B422" s="55" t="s">
        <v>462</v>
      </c>
      <c r="C422" s="55" t="s">
        <v>401</v>
      </c>
      <c r="D422" s="56" t="str">
        <f>VLOOKUP(Контракты[[#This Row],[Клиент]],Клиенты[#All],2,FALSE)</f>
        <v>Кузнецов Евгений Олегович</v>
      </c>
    </row>
    <row r="423" spans="1:4" hidden="1" x14ac:dyDescent="0.25">
      <c r="A423" s="78" t="s">
        <v>211</v>
      </c>
      <c r="B423" s="69" t="s">
        <v>637</v>
      </c>
      <c r="C423" s="69" t="s">
        <v>385</v>
      </c>
      <c r="D423" s="70" t="str">
        <f>VLOOKUP(Контракты[[#This Row],[Клиент]],Клиенты[#All],2,FALSE)</f>
        <v>Коваленко Наталья Алексеевна</v>
      </c>
    </row>
    <row r="424" spans="1:4" hidden="1" x14ac:dyDescent="0.25">
      <c r="A424" s="29" t="s">
        <v>211</v>
      </c>
      <c r="B424" s="55" t="s">
        <v>495</v>
      </c>
      <c r="C424" s="55" t="s">
        <v>489</v>
      </c>
      <c r="D424" s="56" t="str">
        <f>VLOOKUP(Контракты[[#This Row],[Клиент]],Клиенты[#All],2,FALSE)</f>
        <v>Кузнецов Евгений Олегович</v>
      </c>
    </row>
    <row r="425" spans="1:4" hidden="1" x14ac:dyDescent="0.25">
      <c r="A425" s="29" t="s">
        <v>206</v>
      </c>
      <c r="B425" s="24" t="s">
        <v>99</v>
      </c>
      <c r="C425" s="24" t="s">
        <v>34</v>
      </c>
      <c r="D425" s="38" t="str">
        <f>VLOOKUP(Контракты[[#This Row],[Клиент]],Клиенты[#All],2,FALSE)</f>
        <v>Кузнецов Евгений Олегович</v>
      </c>
    </row>
    <row r="426" spans="1:4" hidden="1" x14ac:dyDescent="0.25">
      <c r="A426" s="29" t="s">
        <v>211</v>
      </c>
      <c r="B426" s="55" t="s">
        <v>541</v>
      </c>
      <c r="C426" s="55" t="s">
        <v>607</v>
      </c>
      <c r="D426" s="56" t="str">
        <f>VLOOKUP(Контракты[[#This Row],[Клиент]],Клиенты[#All],2,FALSE)</f>
        <v>Кролевецкий Денис Владимирович</v>
      </c>
    </row>
    <row r="427" spans="1:4" hidden="1" x14ac:dyDescent="0.25">
      <c r="A427" s="29" t="s">
        <v>211</v>
      </c>
      <c r="B427" s="55" t="s">
        <v>541</v>
      </c>
      <c r="C427" s="55" t="s">
        <v>399</v>
      </c>
      <c r="D427" s="56" t="str">
        <f>VLOOKUP(Контракты[[#This Row],[Клиент]],Клиенты[#All],2,FALSE)</f>
        <v>Кролевецкий Денис Владимирович</v>
      </c>
    </row>
    <row r="428" spans="1:4" hidden="1" x14ac:dyDescent="0.25">
      <c r="A428" s="29" t="s">
        <v>211</v>
      </c>
      <c r="B428" s="55" t="s">
        <v>541</v>
      </c>
      <c r="C428" s="55" t="s">
        <v>413</v>
      </c>
      <c r="D428" s="56" t="str">
        <f>VLOOKUP(Контракты[[#This Row],[Клиент]],Клиенты[#All],2,FALSE)</f>
        <v>Кролевецкий Денис Владимирович</v>
      </c>
    </row>
    <row r="429" spans="1:4" hidden="1" x14ac:dyDescent="0.25">
      <c r="A429" s="29" t="s">
        <v>211</v>
      </c>
      <c r="B429" s="55" t="s">
        <v>541</v>
      </c>
      <c r="C429" s="55" t="s">
        <v>417</v>
      </c>
      <c r="D429" s="56" t="str">
        <f>VLOOKUP(Контракты[[#This Row],[Клиент]],Клиенты[#All],2,FALSE)</f>
        <v>Кролевецкий Денис Владимирович</v>
      </c>
    </row>
    <row r="430" spans="1:4" hidden="1" x14ac:dyDescent="0.25">
      <c r="A430" s="29" t="s">
        <v>211</v>
      </c>
      <c r="B430" s="55" t="s">
        <v>541</v>
      </c>
      <c r="C430" s="55" t="s">
        <v>429</v>
      </c>
      <c r="D430" s="56" t="str">
        <f>VLOOKUP(Контракты[[#This Row],[Клиент]],Клиенты[#All],2,FALSE)</f>
        <v>Кролевецкий Денис Владимирович</v>
      </c>
    </row>
    <row r="431" spans="1:4" hidden="1" x14ac:dyDescent="0.25">
      <c r="A431" s="29" t="s">
        <v>211</v>
      </c>
      <c r="B431" s="55" t="s">
        <v>541</v>
      </c>
      <c r="C431" s="55" t="s">
        <v>444</v>
      </c>
      <c r="D431" s="56" t="str">
        <f>VLOOKUP(Контракты[[#This Row],[Клиент]],Клиенты[#All],2,FALSE)</f>
        <v>Кролевецкий Денис Владимирович</v>
      </c>
    </row>
    <row r="432" spans="1:4" hidden="1" x14ac:dyDescent="0.25">
      <c r="A432" s="29" t="s">
        <v>206</v>
      </c>
      <c r="B432" s="24" t="s">
        <v>76</v>
      </c>
      <c r="C432" s="24" t="s">
        <v>24</v>
      </c>
      <c r="D432" s="38" t="str">
        <f>VLOOKUP(Контракты[[#This Row],[Клиент]],Клиенты[#All],2,FALSE)</f>
        <v>Мартюшов Андрей Евгеньевич</v>
      </c>
    </row>
    <row r="433" spans="1:4" hidden="1" x14ac:dyDescent="0.25">
      <c r="A433" s="29" t="s">
        <v>207</v>
      </c>
      <c r="B433" s="32" t="s">
        <v>217</v>
      </c>
      <c r="C433" s="32" t="s">
        <v>23</v>
      </c>
      <c r="D433" s="38" t="str">
        <f>VLOOKUP(Контракты[[#This Row],[Клиент]],Клиенты[#All],2,FALSE)</f>
        <v>Федотов Алексей Николаевич</v>
      </c>
    </row>
    <row r="434" spans="1:4" hidden="1" x14ac:dyDescent="0.25">
      <c r="A434" s="29" t="s">
        <v>207</v>
      </c>
      <c r="B434" s="32" t="s">
        <v>217</v>
      </c>
      <c r="C434" s="32" t="s">
        <v>24</v>
      </c>
      <c r="D434" s="38" t="str">
        <f>VLOOKUP(Контракты[[#This Row],[Клиент]],Клиенты[#All],2,FALSE)</f>
        <v>Федотов Алексей Николаевич</v>
      </c>
    </row>
    <row r="435" spans="1:4" hidden="1" x14ac:dyDescent="0.25">
      <c r="A435" s="29" t="s">
        <v>207</v>
      </c>
      <c r="B435" s="32" t="s">
        <v>217</v>
      </c>
      <c r="C435" s="32" t="s">
        <v>33</v>
      </c>
      <c r="D435" s="38" t="str">
        <f>VLOOKUP(Контракты[[#This Row],[Клиент]],Клиенты[#All],2,FALSE)</f>
        <v>Федотов Алексей Николаевич</v>
      </c>
    </row>
    <row r="436" spans="1:4" hidden="1" x14ac:dyDescent="0.25">
      <c r="A436" s="29" t="s">
        <v>206</v>
      </c>
      <c r="B436" s="24" t="s">
        <v>2</v>
      </c>
      <c r="C436" s="24" t="s">
        <v>668</v>
      </c>
      <c r="D436" s="38" t="str">
        <f>VLOOKUP(Контракты[[#This Row],[Клиент]],Клиенты[#All],2,FALSE)</f>
        <v>Кузнецов Евгений Олегович</v>
      </c>
    </row>
    <row r="437" spans="1:4" hidden="1" x14ac:dyDescent="0.25">
      <c r="A437" s="29" t="s">
        <v>206</v>
      </c>
      <c r="B437" s="32" t="s">
        <v>219</v>
      </c>
      <c r="C437" s="32" t="s">
        <v>24</v>
      </c>
      <c r="D437" s="38" t="str">
        <f>VLOOKUP(Контракты[[#This Row],[Клиент]],Клиенты[#All],2,FALSE)</f>
        <v>Федотов Алексей Николаевич</v>
      </c>
    </row>
    <row r="438" spans="1:4" hidden="1" x14ac:dyDescent="0.25">
      <c r="A438" s="29" t="s">
        <v>207</v>
      </c>
      <c r="B438" s="32" t="s">
        <v>220</v>
      </c>
      <c r="C438" s="32" t="s">
        <v>24</v>
      </c>
      <c r="D438" s="38" t="str">
        <f>VLOOKUP(Контракты[[#This Row],[Клиент]],Клиенты[#All],2,FALSE)</f>
        <v>Федотов Алексей Николаевич</v>
      </c>
    </row>
    <row r="439" spans="1:4" hidden="1" x14ac:dyDescent="0.25">
      <c r="A439" s="29" t="s">
        <v>206</v>
      </c>
      <c r="B439" s="24" t="s">
        <v>184</v>
      </c>
      <c r="C439" s="24" t="s">
        <v>669</v>
      </c>
      <c r="D439" s="38" t="str">
        <f>VLOOKUP(Контракты[[#This Row],[Клиент]],Клиенты[#All],2,FALSE)</f>
        <v>Кузнецов Евгений Олегович</v>
      </c>
    </row>
    <row r="440" spans="1:4" hidden="1" x14ac:dyDescent="0.25">
      <c r="A440" s="29" t="s">
        <v>206</v>
      </c>
      <c r="B440" s="24" t="s">
        <v>184</v>
      </c>
      <c r="C440" s="24" t="s">
        <v>24</v>
      </c>
      <c r="D440" s="38" t="str">
        <f>VLOOKUP(Контракты[[#This Row],[Клиент]],Клиенты[#All],2,FALSE)</f>
        <v>Кузнецов Евгений Олегович</v>
      </c>
    </row>
    <row r="441" spans="1:4" hidden="1" x14ac:dyDescent="0.25">
      <c r="A441" s="29" t="s">
        <v>211</v>
      </c>
      <c r="B441" s="24" t="s">
        <v>184</v>
      </c>
      <c r="C441" s="80" t="s">
        <v>402</v>
      </c>
      <c r="D441" s="81" t="str">
        <f>VLOOKUP(Контракты[[#This Row],[Клиент]],Клиенты[#All],2,FALSE)</f>
        <v>Кузнецов Евгений Олегович</v>
      </c>
    </row>
    <row r="442" spans="1:4" hidden="1" x14ac:dyDescent="0.25">
      <c r="A442" s="29" t="s">
        <v>211</v>
      </c>
      <c r="B442" s="24" t="s">
        <v>184</v>
      </c>
      <c r="C442" s="80" t="s">
        <v>479</v>
      </c>
      <c r="D442" s="81" t="str">
        <f>VLOOKUP(Контракты[[#This Row],[Клиент]],Клиенты[#All],2,FALSE)</f>
        <v>Кузнецов Евгений Олегович</v>
      </c>
    </row>
    <row r="443" spans="1:4" hidden="1" x14ac:dyDescent="0.25">
      <c r="A443" s="29" t="s">
        <v>211</v>
      </c>
      <c r="B443" s="55" t="s">
        <v>450</v>
      </c>
      <c r="C443" s="55" t="s">
        <v>374</v>
      </c>
      <c r="D443" s="56" t="str">
        <f>VLOOKUP(Контракты[[#This Row],[Клиент]],Клиенты[#All],2,FALSE)</f>
        <v>Коваленко Наталья Алексеевна</v>
      </c>
    </row>
    <row r="444" spans="1:4" x14ac:dyDescent="0.25">
      <c r="A444" s="29" t="s">
        <v>208</v>
      </c>
      <c r="B444" s="32" t="s">
        <v>288</v>
      </c>
      <c r="C444" s="32" t="s">
        <v>243</v>
      </c>
      <c r="D444" s="38" t="str">
        <f>VLOOKUP(Контракты[[#This Row],[Клиент]],Клиенты[#All],2,FALSE)</f>
        <v>Кролевецкий Денис Владимирович</v>
      </c>
    </row>
    <row r="445" spans="1:4" hidden="1" x14ac:dyDescent="0.25">
      <c r="A445" s="29" t="s">
        <v>206</v>
      </c>
      <c r="B445" s="24" t="s">
        <v>185</v>
      </c>
      <c r="C445" s="24" t="s">
        <v>34</v>
      </c>
      <c r="D445" s="38" t="str">
        <f>VLOOKUP(Контракты[[#This Row],[Клиент]],Клиенты[#All],2,FALSE)</f>
        <v>Кузнецов Евгений Олегович</v>
      </c>
    </row>
    <row r="446" spans="1:4" hidden="1" x14ac:dyDescent="0.25">
      <c r="A446" s="54" t="s">
        <v>211</v>
      </c>
      <c r="B446" s="55" t="s">
        <v>585</v>
      </c>
      <c r="C446" s="55" t="s">
        <v>482</v>
      </c>
      <c r="D446" s="56" t="str">
        <f>VLOOKUP(Контракты[[#This Row],[Клиент]],Клиенты[#All],2,FALSE)</f>
        <v>Мартюшов Андрей Евгеньевич</v>
      </c>
    </row>
    <row r="447" spans="1:4" hidden="1" x14ac:dyDescent="0.25">
      <c r="A447" s="29" t="s">
        <v>211</v>
      </c>
      <c r="B447" s="69" t="s">
        <v>633</v>
      </c>
      <c r="C447" s="69" t="s">
        <v>396</v>
      </c>
      <c r="D447" s="70" t="str">
        <f>VLOOKUP(Контракты[[#This Row],[Клиент]],Клиенты[#All],2,FALSE)</f>
        <v>Кролевецкий Денис Владимирович</v>
      </c>
    </row>
    <row r="448" spans="1:4" hidden="1" x14ac:dyDescent="0.25">
      <c r="A448" s="29" t="s">
        <v>206</v>
      </c>
      <c r="B448" s="24" t="s">
        <v>187</v>
      </c>
      <c r="C448" s="24" t="s">
        <v>31</v>
      </c>
      <c r="D448" s="38" t="str">
        <f>VLOOKUP(Контракты[[#This Row],[Клиент]],Клиенты[#All],2,FALSE)</f>
        <v>Кролевецкий Денис Владимирович</v>
      </c>
    </row>
    <row r="449" spans="1:4" hidden="1" x14ac:dyDescent="0.25">
      <c r="A449" s="78" t="s">
        <v>211</v>
      </c>
      <c r="B449" s="69" t="s">
        <v>187</v>
      </c>
      <c r="C449" s="69" t="s">
        <v>396</v>
      </c>
      <c r="D449" s="70" t="str">
        <f>VLOOKUP(Контракты[[#This Row],[Клиент]],Клиенты[#All],2,FALSE)</f>
        <v>Кролевецкий Денис Владимирович</v>
      </c>
    </row>
    <row r="450" spans="1:4" hidden="1" x14ac:dyDescent="0.25">
      <c r="A450" s="29" t="s">
        <v>206</v>
      </c>
      <c r="B450" s="24" t="s">
        <v>189</v>
      </c>
      <c r="C450" s="24" t="s">
        <v>670</v>
      </c>
      <c r="D450" s="38" t="str">
        <f>VLOOKUP(Контракты[[#This Row],[Клиент]],Клиенты[#All],2,FALSE)</f>
        <v>Кузнецов Евгений Олегович</v>
      </c>
    </row>
    <row r="451" spans="1:4" hidden="1" x14ac:dyDescent="0.25">
      <c r="A451" s="29" t="s">
        <v>206</v>
      </c>
      <c r="B451" s="24" t="s">
        <v>189</v>
      </c>
      <c r="C451" s="24" t="s">
        <v>58</v>
      </c>
      <c r="D451" s="38" t="str">
        <f>VLOOKUP(Контракты[[#This Row],[Клиент]],Клиенты[#All],2,FALSE)</f>
        <v>Кузнецов Евгений Олегович</v>
      </c>
    </row>
    <row r="452" spans="1:4" hidden="1" x14ac:dyDescent="0.25">
      <c r="A452" s="77" t="s">
        <v>206</v>
      </c>
      <c r="B452" s="25" t="s">
        <v>189</v>
      </c>
      <c r="C452" s="25" t="s">
        <v>24</v>
      </c>
      <c r="D452" s="39" t="str">
        <f>VLOOKUP(Контракты[[#This Row],[Клиент]],Клиенты[#All],2,FALSE)</f>
        <v>Кузнецов Евгений Олегович</v>
      </c>
    </row>
    <row r="453" spans="1:4" hidden="1" x14ac:dyDescent="0.25">
      <c r="A453" s="77" t="s">
        <v>206</v>
      </c>
      <c r="B453" s="24" t="s">
        <v>189</v>
      </c>
      <c r="C453" s="24" t="s">
        <v>34</v>
      </c>
      <c r="D453" s="38" t="str">
        <f>VLOOKUP(Контракты[[#This Row],[Клиент]],Клиенты[#All],2,FALSE)</f>
        <v>Кузнецов Евгений Олегович</v>
      </c>
    </row>
    <row r="454" spans="1:4" hidden="1" x14ac:dyDescent="0.25">
      <c r="A454" s="77" t="s">
        <v>207</v>
      </c>
      <c r="B454" s="91" t="s">
        <v>679</v>
      </c>
      <c r="C454" s="91" t="s">
        <v>222</v>
      </c>
      <c r="D454" s="94" t="str">
        <f>VLOOKUP(Контракты[[#This Row],[Клиент]],Клиенты[#All],2,FALSE)</f>
        <v>Мусаев Мурад Исмаилович</v>
      </c>
    </row>
    <row r="455" spans="1:4" hidden="1" x14ac:dyDescent="0.25">
      <c r="A455" s="77" t="s">
        <v>207</v>
      </c>
      <c r="B455" s="91" t="s">
        <v>681</v>
      </c>
      <c r="C455" s="91" t="s">
        <v>222</v>
      </c>
      <c r="D455" s="94" t="str">
        <f>VLOOKUP(Контракты[[#This Row],[Клиент]],Клиенты[#All],2,FALSE)</f>
        <v>Мусаев Мурад Исмаилович</v>
      </c>
    </row>
    <row r="456" spans="1:4" x14ac:dyDescent="0.25">
      <c r="A456" s="77" t="s">
        <v>208</v>
      </c>
      <c r="B456" s="34" t="s">
        <v>185</v>
      </c>
      <c r="C456" s="34" t="s">
        <v>268</v>
      </c>
      <c r="D456" s="39" t="str">
        <f>VLOOKUP(Контракты[[#This Row],[Клиент]],Клиенты[#All],2,FALSE)</f>
        <v>Кузнецов Евгений Олегович</v>
      </c>
    </row>
  </sheetData>
  <dataValidations count="3">
    <dataValidation type="list" allowBlank="1" showInputMessage="1" showErrorMessage="1" error="Выбирать строко из списка!" sqref="B2:B456">
      <formula1>Клиент</formula1>
    </dataValidation>
    <dataValidation type="list" allowBlank="1" showInputMessage="1" showErrorMessage="1" error="Выбирать строго из списка!" sqref="C2:C456">
      <formula1>Продукт_</formula1>
    </dataValidation>
    <dataValidation type="list" allowBlank="1" showInputMessage="1" showErrorMessage="1" error="Выбирать строко из списка!" sqref="A2:A456">
      <formula1>БЕ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родукты"/>
  <dimension ref="A1:C197"/>
  <sheetViews>
    <sheetView workbookViewId="0">
      <pane ySplit="1" topLeftCell="A23" activePane="bottomLeft" state="frozenSplit"/>
      <selection pane="bottomLeft" activeCell="B40" sqref="B40"/>
    </sheetView>
  </sheetViews>
  <sheetFormatPr defaultRowHeight="15" x14ac:dyDescent="0.25"/>
  <cols>
    <col min="1" max="1" width="16.85546875" customWidth="1"/>
    <col min="2" max="2" width="38.85546875" style="11" customWidth="1"/>
    <col min="3" max="3" width="14" style="10" customWidth="1"/>
    <col min="6" max="6" width="41.7109375" customWidth="1"/>
  </cols>
  <sheetData>
    <row r="1" spans="1:3" x14ac:dyDescent="0.25">
      <c r="A1" s="21" t="s">
        <v>205</v>
      </c>
      <c r="B1" s="12" t="s">
        <v>22</v>
      </c>
      <c r="C1" s="22" t="s">
        <v>118</v>
      </c>
    </row>
    <row r="2" spans="1:3" x14ac:dyDescent="0.25">
      <c r="A2" s="18" t="s">
        <v>208</v>
      </c>
      <c r="B2" s="32" t="s">
        <v>237</v>
      </c>
      <c r="C2" s="33">
        <v>1</v>
      </c>
    </row>
    <row r="3" spans="1:3" x14ac:dyDescent="0.25">
      <c r="A3" s="18" t="s">
        <v>208</v>
      </c>
      <c r="B3" s="32" t="s">
        <v>238</v>
      </c>
      <c r="C3" s="33">
        <v>2</v>
      </c>
    </row>
    <row r="4" spans="1:3" x14ac:dyDescent="0.25">
      <c r="A4" s="18" t="s">
        <v>208</v>
      </c>
      <c r="B4" s="32" t="s">
        <v>239</v>
      </c>
      <c r="C4" s="33">
        <v>3</v>
      </c>
    </row>
    <row r="5" spans="1:3" x14ac:dyDescent="0.25">
      <c r="A5" s="18" t="s">
        <v>208</v>
      </c>
      <c r="B5" s="32" t="s">
        <v>240</v>
      </c>
      <c r="C5" s="33">
        <v>4</v>
      </c>
    </row>
    <row r="6" spans="1:3" x14ac:dyDescent="0.25">
      <c r="A6" s="18" t="s">
        <v>208</v>
      </c>
      <c r="B6" s="32" t="s">
        <v>241</v>
      </c>
      <c r="C6" s="33">
        <v>5</v>
      </c>
    </row>
    <row r="7" spans="1:3" x14ac:dyDescent="0.25">
      <c r="A7" s="18" t="s">
        <v>208</v>
      </c>
      <c r="B7" s="32" t="s">
        <v>242</v>
      </c>
      <c r="C7" s="33">
        <v>6</v>
      </c>
    </row>
    <row r="8" spans="1:3" x14ac:dyDescent="0.25">
      <c r="A8" s="18" t="s">
        <v>208</v>
      </c>
      <c r="B8" s="32" t="s">
        <v>243</v>
      </c>
      <c r="C8" s="33">
        <v>7</v>
      </c>
    </row>
    <row r="9" spans="1:3" x14ac:dyDescent="0.25">
      <c r="A9" s="18" t="s">
        <v>208</v>
      </c>
      <c r="B9" s="32" t="s">
        <v>244</v>
      </c>
      <c r="C9" s="33">
        <v>8</v>
      </c>
    </row>
    <row r="10" spans="1:3" x14ac:dyDescent="0.25">
      <c r="A10" s="18" t="s">
        <v>208</v>
      </c>
      <c r="B10" s="32" t="s">
        <v>245</v>
      </c>
      <c r="C10" s="33">
        <v>9</v>
      </c>
    </row>
    <row r="11" spans="1:3" x14ac:dyDescent="0.25">
      <c r="A11" s="18" t="s">
        <v>208</v>
      </c>
      <c r="B11" s="32" t="s">
        <v>246</v>
      </c>
      <c r="C11" s="33">
        <v>10</v>
      </c>
    </row>
    <row r="12" spans="1:3" x14ac:dyDescent="0.25">
      <c r="A12" s="18" t="s">
        <v>208</v>
      </c>
      <c r="B12" s="32" t="s">
        <v>247</v>
      </c>
      <c r="C12" s="33">
        <v>11</v>
      </c>
    </row>
    <row r="13" spans="1:3" x14ac:dyDescent="0.25">
      <c r="A13" s="18" t="s">
        <v>208</v>
      </c>
      <c r="B13" s="32" t="s">
        <v>248</v>
      </c>
      <c r="C13" s="33">
        <v>12</v>
      </c>
    </row>
    <row r="14" spans="1:3" x14ac:dyDescent="0.25">
      <c r="A14" s="18" t="s">
        <v>208</v>
      </c>
      <c r="B14" s="32" t="s">
        <v>249</v>
      </c>
      <c r="C14" s="33">
        <v>13</v>
      </c>
    </row>
    <row r="15" spans="1:3" x14ac:dyDescent="0.25">
      <c r="A15" s="18" t="s">
        <v>208</v>
      </c>
      <c r="B15" s="32" t="s">
        <v>250</v>
      </c>
      <c r="C15" s="33">
        <v>14</v>
      </c>
    </row>
    <row r="16" spans="1:3" x14ac:dyDescent="0.25">
      <c r="A16" s="18" t="s">
        <v>208</v>
      </c>
      <c r="B16" s="32" t="s">
        <v>251</v>
      </c>
      <c r="C16" s="33">
        <v>15</v>
      </c>
    </row>
    <row r="17" spans="1:3" x14ac:dyDescent="0.25">
      <c r="A17" s="18" t="s">
        <v>208</v>
      </c>
      <c r="B17" s="32" t="s">
        <v>252</v>
      </c>
      <c r="C17" s="33">
        <v>16</v>
      </c>
    </row>
    <row r="18" spans="1:3" x14ac:dyDescent="0.25">
      <c r="A18" s="19" t="s">
        <v>208</v>
      </c>
      <c r="B18" s="34" t="s">
        <v>253</v>
      </c>
      <c r="C18" s="35">
        <v>17</v>
      </c>
    </row>
    <row r="19" spans="1:3" x14ac:dyDescent="0.25">
      <c r="A19" s="18" t="s">
        <v>208</v>
      </c>
      <c r="B19" s="32" t="s">
        <v>254</v>
      </c>
      <c r="C19" s="33">
        <v>18</v>
      </c>
    </row>
    <row r="20" spans="1:3" x14ac:dyDescent="0.25">
      <c r="A20" s="19" t="s">
        <v>208</v>
      </c>
      <c r="B20" s="34" t="s">
        <v>255</v>
      </c>
      <c r="C20" s="35">
        <v>19</v>
      </c>
    </row>
    <row r="21" spans="1:3" x14ac:dyDescent="0.25">
      <c r="A21" s="19" t="s">
        <v>208</v>
      </c>
      <c r="B21" s="34" t="s">
        <v>256</v>
      </c>
      <c r="C21" s="35">
        <v>20</v>
      </c>
    </row>
    <row r="22" spans="1:3" x14ac:dyDescent="0.25">
      <c r="A22" s="19" t="s">
        <v>208</v>
      </c>
      <c r="B22" s="32" t="s">
        <v>257</v>
      </c>
      <c r="C22" s="33">
        <v>21</v>
      </c>
    </row>
    <row r="23" spans="1:3" x14ac:dyDescent="0.25">
      <c r="A23" s="19" t="s">
        <v>208</v>
      </c>
      <c r="B23" s="32" t="s">
        <v>258</v>
      </c>
      <c r="C23" s="33">
        <v>22</v>
      </c>
    </row>
    <row r="24" spans="1:3" x14ac:dyDescent="0.25">
      <c r="A24" s="19" t="s">
        <v>208</v>
      </c>
      <c r="B24" s="32" t="s">
        <v>259</v>
      </c>
      <c r="C24" s="33">
        <v>23</v>
      </c>
    </row>
    <row r="25" spans="1:3" x14ac:dyDescent="0.25">
      <c r="A25" s="19" t="s">
        <v>208</v>
      </c>
      <c r="B25" s="32" t="s">
        <v>234</v>
      </c>
      <c r="C25" s="33">
        <v>24</v>
      </c>
    </row>
    <row r="26" spans="1:3" x14ac:dyDescent="0.25">
      <c r="A26" s="19" t="s">
        <v>208</v>
      </c>
      <c r="B26" s="32" t="s">
        <v>235</v>
      </c>
      <c r="C26" s="33">
        <v>25</v>
      </c>
    </row>
    <row r="27" spans="1:3" x14ac:dyDescent="0.25">
      <c r="A27" s="19" t="s">
        <v>208</v>
      </c>
      <c r="B27" s="32" t="s">
        <v>236</v>
      </c>
      <c r="C27" s="33">
        <v>26</v>
      </c>
    </row>
    <row r="28" spans="1:3" x14ac:dyDescent="0.25">
      <c r="A28" s="19" t="s">
        <v>208</v>
      </c>
      <c r="B28" s="32" t="s">
        <v>260</v>
      </c>
      <c r="C28" s="33">
        <v>27</v>
      </c>
    </row>
    <row r="29" spans="1:3" x14ac:dyDescent="0.25">
      <c r="A29" s="19" t="s">
        <v>208</v>
      </c>
      <c r="B29" s="32" t="s">
        <v>261</v>
      </c>
      <c r="C29" s="33">
        <v>28</v>
      </c>
    </row>
    <row r="30" spans="1:3" x14ac:dyDescent="0.25">
      <c r="A30" s="19" t="s">
        <v>208</v>
      </c>
      <c r="B30" s="32" t="s">
        <v>262</v>
      </c>
      <c r="C30" s="35">
        <v>29</v>
      </c>
    </row>
    <row r="31" spans="1:3" x14ac:dyDescent="0.25">
      <c r="A31" s="19" t="s">
        <v>208</v>
      </c>
      <c r="B31" s="34" t="s">
        <v>263</v>
      </c>
      <c r="C31" s="35">
        <v>30</v>
      </c>
    </row>
    <row r="32" spans="1:3" x14ac:dyDescent="0.25">
      <c r="A32" s="19" t="s">
        <v>208</v>
      </c>
      <c r="B32" s="34" t="s">
        <v>264</v>
      </c>
      <c r="C32" s="35">
        <v>31</v>
      </c>
    </row>
    <row r="33" spans="1:3" x14ac:dyDescent="0.25">
      <c r="A33" s="19" t="s">
        <v>208</v>
      </c>
      <c r="B33" s="34" t="s">
        <v>227</v>
      </c>
      <c r="C33" s="35">
        <v>32</v>
      </c>
    </row>
    <row r="34" spans="1:3" x14ac:dyDescent="0.25">
      <c r="A34" s="19" t="s">
        <v>208</v>
      </c>
      <c r="B34" s="32" t="s">
        <v>265</v>
      </c>
      <c r="C34" s="35">
        <v>33</v>
      </c>
    </row>
    <row r="35" spans="1:3" x14ac:dyDescent="0.25">
      <c r="A35" s="19" t="s">
        <v>208</v>
      </c>
      <c r="B35" s="32" t="s">
        <v>266</v>
      </c>
      <c r="C35" s="35">
        <v>34</v>
      </c>
    </row>
    <row r="36" spans="1:3" x14ac:dyDescent="0.25">
      <c r="A36" s="19" t="s">
        <v>208</v>
      </c>
      <c r="B36" s="32" t="s">
        <v>267</v>
      </c>
      <c r="C36" s="35">
        <v>35</v>
      </c>
    </row>
    <row r="37" spans="1:3" x14ac:dyDescent="0.25">
      <c r="A37" s="19" t="s">
        <v>208</v>
      </c>
      <c r="B37" s="32" t="s">
        <v>268</v>
      </c>
      <c r="C37" s="35">
        <v>36</v>
      </c>
    </row>
    <row r="38" spans="1:3" x14ac:dyDescent="0.25">
      <c r="A38" s="19" t="s">
        <v>208</v>
      </c>
      <c r="B38" s="32" t="s">
        <v>269</v>
      </c>
      <c r="C38" s="35">
        <v>37</v>
      </c>
    </row>
    <row r="39" spans="1:3" x14ac:dyDescent="0.25">
      <c r="A39" s="121" t="s">
        <v>208</v>
      </c>
      <c r="B39" s="115" t="s">
        <v>696</v>
      </c>
      <c r="C39" s="123">
        <v>38</v>
      </c>
    </row>
    <row r="40" spans="1:3" x14ac:dyDescent="0.25">
      <c r="A40" s="19" t="s">
        <v>208</v>
      </c>
      <c r="B40" s="32" t="s">
        <v>270</v>
      </c>
      <c r="C40" s="35">
        <v>39</v>
      </c>
    </row>
    <row r="41" spans="1:3" x14ac:dyDescent="0.25">
      <c r="A41" s="19" t="s">
        <v>208</v>
      </c>
      <c r="B41" s="32" t="s">
        <v>557</v>
      </c>
      <c r="C41" s="35">
        <v>40</v>
      </c>
    </row>
    <row r="42" spans="1:3" x14ac:dyDescent="0.25">
      <c r="A42" s="19" t="s">
        <v>207</v>
      </c>
      <c r="B42" s="32" t="s">
        <v>23</v>
      </c>
      <c r="C42" s="35">
        <v>1</v>
      </c>
    </row>
    <row r="43" spans="1:3" x14ac:dyDescent="0.25">
      <c r="A43" s="19" t="s">
        <v>207</v>
      </c>
      <c r="B43" s="32" t="s">
        <v>24</v>
      </c>
      <c r="C43" s="35">
        <v>2</v>
      </c>
    </row>
    <row r="44" spans="1:3" x14ac:dyDescent="0.25">
      <c r="A44" s="19" t="s">
        <v>207</v>
      </c>
      <c r="B44" s="32" t="s">
        <v>33</v>
      </c>
      <c r="C44" s="35">
        <v>3</v>
      </c>
    </row>
    <row r="45" spans="1:3" x14ac:dyDescent="0.25">
      <c r="A45" s="19" t="s">
        <v>207</v>
      </c>
      <c r="B45" s="32" t="s">
        <v>228</v>
      </c>
      <c r="C45" s="35">
        <v>4</v>
      </c>
    </row>
    <row r="46" spans="1:3" x14ac:dyDescent="0.25">
      <c r="A46" s="19" t="s">
        <v>207</v>
      </c>
      <c r="B46" s="32" t="s">
        <v>225</v>
      </c>
      <c r="C46" s="35">
        <v>5</v>
      </c>
    </row>
    <row r="47" spans="1:3" x14ac:dyDescent="0.25">
      <c r="A47" s="19" t="s">
        <v>207</v>
      </c>
      <c r="B47" s="32" t="s">
        <v>222</v>
      </c>
      <c r="C47" s="35">
        <v>6</v>
      </c>
    </row>
    <row r="48" spans="1:3" x14ac:dyDescent="0.25">
      <c r="A48" s="19" t="s">
        <v>207</v>
      </c>
      <c r="B48" s="23" t="s">
        <v>574</v>
      </c>
      <c r="C48" s="35">
        <v>7</v>
      </c>
    </row>
    <row r="49" spans="1:3" x14ac:dyDescent="0.25">
      <c r="A49" s="19" t="s">
        <v>207</v>
      </c>
      <c r="B49" s="23" t="s">
        <v>348</v>
      </c>
      <c r="C49" s="35">
        <v>8</v>
      </c>
    </row>
    <row r="50" spans="1:3" x14ac:dyDescent="0.25">
      <c r="A50" s="19" t="s">
        <v>207</v>
      </c>
      <c r="B50" s="32" t="s">
        <v>227</v>
      </c>
      <c r="C50" s="35">
        <v>9</v>
      </c>
    </row>
    <row r="51" spans="1:3" x14ac:dyDescent="0.25">
      <c r="A51" s="58" t="s">
        <v>207</v>
      </c>
      <c r="B51" s="23" t="s">
        <v>431</v>
      </c>
      <c r="C51" s="60">
        <v>10</v>
      </c>
    </row>
    <row r="52" spans="1:3" x14ac:dyDescent="0.25">
      <c r="A52" s="19" t="s">
        <v>207</v>
      </c>
      <c r="B52" s="32" t="s">
        <v>226</v>
      </c>
      <c r="C52" s="35">
        <v>11</v>
      </c>
    </row>
    <row r="53" spans="1:3" x14ac:dyDescent="0.25">
      <c r="A53" s="19" t="s">
        <v>207</v>
      </c>
      <c r="B53" s="32" t="s">
        <v>223</v>
      </c>
      <c r="C53" s="35">
        <v>12</v>
      </c>
    </row>
    <row r="54" spans="1:3" x14ac:dyDescent="0.25">
      <c r="A54" s="19" t="s">
        <v>207</v>
      </c>
      <c r="B54" s="32" t="s">
        <v>224</v>
      </c>
      <c r="C54" s="35">
        <v>13</v>
      </c>
    </row>
    <row r="55" spans="1:3" x14ac:dyDescent="0.25">
      <c r="A55" s="19" t="s">
        <v>206</v>
      </c>
      <c r="B55" s="23" t="s">
        <v>23</v>
      </c>
      <c r="C55" s="26">
        <v>1</v>
      </c>
    </row>
    <row r="56" spans="1:3" x14ac:dyDescent="0.25">
      <c r="A56" s="19" t="s">
        <v>206</v>
      </c>
      <c r="B56" s="66" t="s">
        <v>24</v>
      </c>
      <c r="C56" s="26">
        <v>2</v>
      </c>
    </row>
    <row r="57" spans="1:3" x14ac:dyDescent="0.25">
      <c r="A57" s="19" t="s">
        <v>206</v>
      </c>
      <c r="B57" s="66" t="s">
        <v>25</v>
      </c>
      <c r="C57" s="26">
        <v>3</v>
      </c>
    </row>
    <row r="58" spans="1:3" x14ac:dyDescent="0.25">
      <c r="A58" s="19" t="s">
        <v>206</v>
      </c>
      <c r="B58" s="66" t="s">
        <v>665</v>
      </c>
      <c r="C58" s="26">
        <v>4</v>
      </c>
    </row>
    <row r="59" spans="1:3" x14ac:dyDescent="0.25">
      <c r="A59" s="19" t="s">
        <v>206</v>
      </c>
      <c r="B59" s="66" t="s">
        <v>26</v>
      </c>
      <c r="C59" s="26">
        <v>5</v>
      </c>
    </row>
    <row r="60" spans="1:3" x14ac:dyDescent="0.25">
      <c r="A60" s="19" t="s">
        <v>206</v>
      </c>
      <c r="B60" s="66" t="s">
        <v>666</v>
      </c>
      <c r="C60" s="26">
        <v>6</v>
      </c>
    </row>
    <row r="61" spans="1:3" x14ac:dyDescent="0.25">
      <c r="A61" s="19" t="s">
        <v>206</v>
      </c>
      <c r="B61" s="66" t="s">
        <v>27</v>
      </c>
      <c r="C61" s="26">
        <v>7</v>
      </c>
    </row>
    <row r="62" spans="1:3" x14ac:dyDescent="0.25">
      <c r="A62" s="19" t="s">
        <v>206</v>
      </c>
      <c r="B62" s="66" t="s">
        <v>28</v>
      </c>
      <c r="C62" s="26">
        <v>8</v>
      </c>
    </row>
    <row r="63" spans="1:3" x14ac:dyDescent="0.25">
      <c r="A63" s="19" t="s">
        <v>206</v>
      </c>
      <c r="B63" s="66" t="s">
        <v>29</v>
      </c>
      <c r="C63" s="26">
        <v>9</v>
      </c>
    </row>
    <row r="64" spans="1:3" x14ac:dyDescent="0.25">
      <c r="A64" s="19" t="s">
        <v>206</v>
      </c>
      <c r="B64" s="66" t="s">
        <v>667</v>
      </c>
      <c r="C64" s="26">
        <v>10</v>
      </c>
    </row>
    <row r="65" spans="1:3" x14ac:dyDescent="0.25">
      <c r="A65" s="19" t="s">
        <v>206</v>
      </c>
      <c r="B65" s="66" t="s">
        <v>30</v>
      </c>
      <c r="C65" s="26">
        <v>11</v>
      </c>
    </row>
    <row r="66" spans="1:3" x14ac:dyDescent="0.25">
      <c r="A66" s="19" t="s">
        <v>206</v>
      </c>
      <c r="B66" s="66" t="s">
        <v>31</v>
      </c>
      <c r="C66" s="26">
        <v>12</v>
      </c>
    </row>
    <row r="67" spans="1:3" x14ac:dyDescent="0.25">
      <c r="A67" s="19" t="s">
        <v>206</v>
      </c>
      <c r="B67" s="66" t="s">
        <v>32</v>
      </c>
      <c r="C67" s="26">
        <v>13</v>
      </c>
    </row>
    <row r="68" spans="1:3" x14ac:dyDescent="0.25">
      <c r="A68" s="19" t="s">
        <v>206</v>
      </c>
      <c r="B68" s="66" t="s">
        <v>33</v>
      </c>
      <c r="C68" s="26">
        <v>14</v>
      </c>
    </row>
    <row r="69" spans="1:3" x14ac:dyDescent="0.25">
      <c r="A69" s="19" t="s">
        <v>206</v>
      </c>
      <c r="B69" s="66" t="s">
        <v>34</v>
      </c>
      <c r="C69" s="26">
        <v>15</v>
      </c>
    </row>
    <row r="70" spans="1:3" x14ac:dyDescent="0.25">
      <c r="A70" s="19" t="s">
        <v>206</v>
      </c>
      <c r="B70" s="25" t="s">
        <v>58</v>
      </c>
      <c r="C70" s="26">
        <v>16</v>
      </c>
    </row>
    <row r="71" spans="1:3" x14ac:dyDescent="0.25">
      <c r="A71" s="19" t="s">
        <v>206</v>
      </c>
      <c r="B71" s="25" t="s">
        <v>59</v>
      </c>
      <c r="C71" s="26">
        <v>17</v>
      </c>
    </row>
    <row r="72" spans="1:3" x14ac:dyDescent="0.25">
      <c r="A72" s="19" t="s">
        <v>206</v>
      </c>
      <c r="B72" s="66" t="s">
        <v>668</v>
      </c>
      <c r="C72" s="26">
        <v>18</v>
      </c>
    </row>
    <row r="73" spans="1:3" x14ac:dyDescent="0.25">
      <c r="A73" s="19" t="s">
        <v>206</v>
      </c>
      <c r="B73" s="25" t="s">
        <v>60</v>
      </c>
      <c r="C73" s="26">
        <v>19</v>
      </c>
    </row>
    <row r="74" spans="1:3" x14ac:dyDescent="0.25">
      <c r="A74" s="19" t="s">
        <v>206</v>
      </c>
      <c r="B74" s="66" t="s">
        <v>669</v>
      </c>
      <c r="C74" s="26">
        <v>20</v>
      </c>
    </row>
    <row r="75" spans="1:3" x14ac:dyDescent="0.25">
      <c r="A75" s="19" t="s">
        <v>206</v>
      </c>
      <c r="B75" s="25" t="s">
        <v>61</v>
      </c>
      <c r="C75" s="26">
        <v>21</v>
      </c>
    </row>
    <row r="76" spans="1:3" x14ac:dyDescent="0.25">
      <c r="A76" s="19" t="s">
        <v>206</v>
      </c>
      <c r="B76" s="66" t="s">
        <v>670</v>
      </c>
      <c r="C76" s="26">
        <v>22</v>
      </c>
    </row>
    <row r="77" spans="1:3" x14ac:dyDescent="0.25">
      <c r="A77" s="18" t="s">
        <v>206</v>
      </c>
      <c r="B77" s="24" t="s">
        <v>169</v>
      </c>
      <c r="C77" s="26">
        <v>23</v>
      </c>
    </row>
    <row r="78" spans="1:3" x14ac:dyDescent="0.25">
      <c r="A78" s="58" t="s">
        <v>206</v>
      </c>
      <c r="B78" s="55" t="s">
        <v>606</v>
      </c>
      <c r="C78" s="26">
        <v>24</v>
      </c>
    </row>
    <row r="79" spans="1:3" x14ac:dyDescent="0.25">
      <c r="A79" s="18" t="s">
        <v>211</v>
      </c>
      <c r="B79" s="32" t="s">
        <v>347</v>
      </c>
      <c r="C79" s="33">
        <v>1</v>
      </c>
    </row>
    <row r="80" spans="1:3" x14ac:dyDescent="0.25">
      <c r="A80" s="18" t="s">
        <v>211</v>
      </c>
      <c r="B80" s="32" t="s">
        <v>348</v>
      </c>
      <c r="C80" s="33">
        <v>2</v>
      </c>
    </row>
    <row r="81" spans="1:3" x14ac:dyDescent="0.25">
      <c r="A81" s="18" t="s">
        <v>211</v>
      </c>
      <c r="B81" s="32" t="s">
        <v>349</v>
      </c>
      <c r="C81" s="33">
        <v>3</v>
      </c>
    </row>
    <row r="82" spans="1:3" x14ac:dyDescent="0.25">
      <c r="A82" s="18" t="s">
        <v>211</v>
      </c>
      <c r="B82" s="32" t="s">
        <v>350</v>
      </c>
      <c r="C82" s="33">
        <v>4</v>
      </c>
    </row>
    <row r="83" spans="1:3" x14ac:dyDescent="0.25">
      <c r="A83" s="18" t="s">
        <v>211</v>
      </c>
      <c r="B83" s="32" t="s">
        <v>351</v>
      </c>
      <c r="C83" s="33">
        <v>5</v>
      </c>
    </row>
    <row r="84" spans="1:3" x14ac:dyDescent="0.25">
      <c r="A84" s="18" t="s">
        <v>211</v>
      </c>
      <c r="B84" s="32" t="s">
        <v>352</v>
      </c>
      <c r="C84" s="33">
        <v>6</v>
      </c>
    </row>
    <row r="85" spans="1:3" x14ac:dyDescent="0.25">
      <c r="A85" s="18" t="s">
        <v>211</v>
      </c>
      <c r="B85" s="32" t="s">
        <v>353</v>
      </c>
      <c r="C85" s="33">
        <v>7</v>
      </c>
    </row>
    <row r="86" spans="1:3" x14ac:dyDescent="0.25">
      <c r="A86" s="18" t="s">
        <v>211</v>
      </c>
      <c r="B86" s="32" t="s">
        <v>354</v>
      </c>
      <c r="C86" s="33">
        <v>8</v>
      </c>
    </row>
    <row r="87" spans="1:3" x14ac:dyDescent="0.25">
      <c r="A87" s="18" t="s">
        <v>211</v>
      </c>
      <c r="B87" s="32" t="s">
        <v>355</v>
      </c>
      <c r="C87" s="33">
        <v>9</v>
      </c>
    </row>
    <row r="88" spans="1:3" x14ac:dyDescent="0.25">
      <c r="A88" s="18" t="s">
        <v>211</v>
      </c>
      <c r="B88" s="32" t="s">
        <v>356</v>
      </c>
      <c r="C88" s="33">
        <v>10</v>
      </c>
    </row>
    <row r="89" spans="1:3" x14ac:dyDescent="0.25">
      <c r="A89" s="18" t="s">
        <v>211</v>
      </c>
      <c r="B89" s="32" t="s">
        <v>357</v>
      </c>
      <c r="C89" s="33">
        <v>11</v>
      </c>
    </row>
    <row r="90" spans="1:3" x14ac:dyDescent="0.25">
      <c r="A90" s="18" t="s">
        <v>211</v>
      </c>
      <c r="B90" s="32" t="s">
        <v>358</v>
      </c>
      <c r="C90" s="33">
        <v>12</v>
      </c>
    </row>
    <row r="91" spans="1:3" x14ac:dyDescent="0.25">
      <c r="A91" s="18" t="s">
        <v>211</v>
      </c>
      <c r="B91" s="32" t="s">
        <v>359</v>
      </c>
      <c r="C91" s="33">
        <v>13</v>
      </c>
    </row>
    <row r="92" spans="1:3" x14ac:dyDescent="0.25">
      <c r="A92" s="18" t="s">
        <v>211</v>
      </c>
      <c r="B92" s="32" t="s">
        <v>360</v>
      </c>
      <c r="C92" s="33">
        <v>14</v>
      </c>
    </row>
    <row r="93" spans="1:3" x14ac:dyDescent="0.25">
      <c r="A93" s="18" t="s">
        <v>211</v>
      </c>
      <c r="B93" s="32" t="s">
        <v>361</v>
      </c>
      <c r="C93" s="33">
        <v>15</v>
      </c>
    </row>
    <row r="94" spans="1:3" x14ac:dyDescent="0.25">
      <c r="A94" s="18" t="s">
        <v>211</v>
      </c>
      <c r="B94" s="32" t="s">
        <v>362</v>
      </c>
      <c r="C94" s="33">
        <v>16</v>
      </c>
    </row>
    <row r="95" spans="1:3" x14ac:dyDescent="0.25">
      <c r="A95" s="18" t="s">
        <v>211</v>
      </c>
      <c r="B95" s="32" t="s">
        <v>363</v>
      </c>
      <c r="C95" s="33">
        <v>17</v>
      </c>
    </row>
    <row r="96" spans="1:3" x14ac:dyDescent="0.25">
      <c r="A96" s="18" t="s">
        <v>211</v>
      </c>
      <c r="B96" s="32" t="s">
        <v>364</v>
      </c>
      <c r="C96" s="33">
        <v>18</v>
      </c>
    </row>
    <row r="97" spans="1:3" x14ac:dyDescent="0.25">
      <c r="A97" s="18" t="s">
        <v>211</v>
      </c>
      <c r="B97" s="32" t="s">
        <v>365</v>
      </c>
      <c r="C97" s="33">
        <v>19</v>
      </c>
    </row>
    <row r="98" spans="1:3" x14ac:dyDescent="0.25">
      <c r="A98" s="18" t="s">
        <v>211</v>
      </c>
      <c r="B98" s="32" t="s">
        <v>366</v>
      </c>
      <c r="C98" s="33">
        <v>20</v>
      </c>
    </row>
    <row r="99" spans="1:3" x14ac:dyDescent="0.25">
      <c r="A99" s="18" t="s">
        <v>211</v>
      </c>
      <c r="B99" s="32" t="s">
        <v>367</v>
      </c>
      <c r="C99" s="33">
        <v>21</v>
      </c>
    </row>
    <row r="100" spans="1:3" x14ac:dyDescent="0.25">
      <c r="A100" s="18" t="s">
        <v>211</v>
      </c>
      <c r="B100" s="32" t="s">
        <v>368</v>
      </c>
      <c r="C100" s="33">
        <v>22</v>
      </c>
    </row>
    <row r="101" spans="1:3" x14ac:dyDescent="0.25">
      <c r="A101" s="18" t="s">
        <v>211</v>
      </c>
      <c r="B101" s="32" t="s">
        <v>369</v>
      </c>
      <c r="C101" s="33">
        <v>23</v>
      </c>
    </row>
    <row r="102" spans="1:3" x14ac:dyDescent="0.25">
      <c r="A102" s="18" t="s">
        <v>211</v>
      </c>
      <c r="B102" s="32" t="s">
        <v>370</v>
      </c>
      <c r="C102" s="33">
        <v>24</v>
      </c>
    </row>
    <row r="103" spans="1:3" x14ac:dyDescent="0.25">
      <c r="A103" s="18" t="s">
        <v>211</v>
      </c>
      <c r="B103" s="32" t="s">
        <v>371</v>
      </c>
      <c r="C103" s="33">
        <v>25</v>
      </c>
    </row>
    <row r="104" spans="1:3" x14ac:dyDescent="0.25">
      <c r="A104" s="18" t="s">
        <v>211</v>
      </c>
      <c r="B104" s="32" t="s">
        <v>372</v>
      </c>
      <c r="C104" s="33">
        <v>26</v>
      </c>
    </row>
    <row r="105" spans="1:3" x14ac:dyDescent="0.25">
      <c r="A105" s="18" t="s">
        <v>211</v>
      </c>
      <c r="B105" s="32" t="s">
        <v>373</v>
      </c>
      <c r="C105" s="33">
        <v>27</v>
      </c>
    </row>
    <row r="106" spans="1:3" x14ac:dyDescent="0.25">
      <c r="A106" s="18" t="s">
        <v>211</v>
      </c>
      <c r="B106" s="32" t="s">
        <v>374</v>
      </c>
      <c r="C106" s="33">
        <v>28</v>
      </c>
    </row>
    <row r="107" spans="1:3" x14ac:dyDescent="0.25">
      <c r="A107" s="18" t="s">
        <v>211</v>
      </c>
      <c r="B107" s="32" t="s">
        <v>375</v>
      </c>
      <c r="C107" s="33">
        <v>29</v>
      </c>
    </row>
    <row r="108" spans="1:3" x14ac:dyDescent="0.25">
      <c r="A108" s="18" t="s">
        <v>211</v>
      </c>
      <c r="B108" s="32" t="s">
        <v>376</v>
      </c>
      <c r="C108" s="33">
        <v>30</v>
      </c>
    </row>
    <row r="109" spans="1:3" x14ac:dyDescent="0.25">
      <c r="A109" s="18" t="s">
        <v>211</v>
      </c>
      <c r="B109" s="32" t="s">
        <v>377</v>
      </c>
      <c r="C109" s="33">
        <v>31</v>
      </c>
    </row>
    <row r="110" spans="1:3" x14ac:dyDescent="0.25">
      <c r="A110" s="18" t="s">
        <v>211</v>
      </c>
      <c r="B110" s="32" t="s">
        <v>378</v>
      </c>
      <c r="C110" s="33">
        <v>32</v>
      </c>
    </row>
    <row r="111" spans="1:3" x14ac:dyDescent="0.25">
      <c r="A111" s="18" t="s">
        <v>211</v>
      </c>
      <c r="B111" s="32" t="s">
        <v>379</v>
      </c>
      <c r="C111" s="33">
        <v>33</v>
      </c>
    </row>
    <row r="112" spans="1:3" x14ac:dyDescent="0.25">
      <c r="A112" s="18" t="s">
        <v>211</v>
      </c>
      <c r="B112" s="32" t="s">
        <v>380</v>
      </c>
      <c r="C112" s="33">
        <v>34</v>
      </c>
    </row>
    <row r="113" spans="1:3" x14ac:dyDescent="0.25">
      <c r="A113" s="18" t="s">
        <v>211</v>
      </c>
      <c r="B113" s="32" t="s">
        <v>381</v>
      </c>
      <c r="C113" s="33">
        <v>35</v>
      </c>
    </row>
    <row r="114" spans="1:3" x14ac:dyDescent="0.25">
      <c r="A114" s="18" t="s">
        <v>211</v>
      </c>
      <c r="B114" s="32" t="s">
        <v>382</v>
      </c>
      <c r="C114" s="33">
        <v>36</v>
      </c>
    </row>
    <row r="115" spans="1:3" x14ac:dyDescent="0.25">
      <c r="A115" s="18" t="s">
        <v>211</v>
      </c>
      <c r="B115" s="32" t="s">
        <v>383</v>
      </c>
      <c r="C115" s="33">
        <v>37</v>
      </c>
    </row>
    <row r="116" spans="1:3" x14ac:dyDescent="0.25">
      <c r="A116" s="18" t="s">
        <v>211</v>
      </c>
      <c r="B116" s="32" t="s">
        <v>384</v>
      </c>
      <c r="C116" s="33">
        <v>38</v>
      </c>
    </row>
    <row r="117" spans="1:3" x14ac:dyDescent="0.25">
      <c r="A117" s="18" t="s">
        <v>211</v>
      </c>
      <c r="B117" s="32" t="s">
        <v>385</v>
      </c>
      <c r="C117" s="33">
        <v>39</v>
      </c>
    </row>
    <row r="118" spans="1:3" x14ac:dyDescent="0.25">
      <c r="A118" s="18" t="s">
        <v>211</v>
      </c>
      <c r="B118" s="32" t="s">
        <v>386</v>
      </c>
      <c r="C118" s="33">
        <v>40</v>
      </c>
    </row>
    <row r="119" spans="1:3" x14ac:dyDescent="0.25">
      <c r="A119" s="18" t="s">
        <v>211</v>
      </c>
      <c r="B119" s="32" t="s">
        <v>387</v>
      </c>
      <c r="C119" s="33">
        <v>41</v>
      </c>
    </row>
    <row r="120" spans="1:3" x14ac:dyDescent="0.25">
      <c r="A120" s="18" t="s">
        <v>211</v>
      </c>
      <c r="B120" s="32" t="s">
        <v>388</v>
      </c>
      <c r="C120" s="33">
        <v>42</v>
      </c>
    </row>
    <row r="121" spans="1:3" x14ac:dyDescent="0.25">
      <c r="A121" s="18" t="s">
        <v>211</v>
      </c>
      <c r="B121" s="32" t="s">
        <v>389</v>
      </c>
      <c r="C121" s="33">
        <v>43</v>
      </c>
    </row>
    <row r="122" spans="1:3" x14ac:dyDescent="0.25">
      <c r="A122" s="18" t="s">
        <v>211</v>
      </c>
      <c r="B122" s="32" t="s">
        <v>390</v>
      </c>
      <c r="C122" s="33">
        <v>44</v>
      </c>
    </row>
    <row r="123" spans="1:3" x14ac:dyDescent="0.25">
      <c r="A123" s="18" t="s">
        <v>211</v>
      </c>
      <c r="B123" s="32" t="s">
        <v>391</v>
      </c>
      <c r="C123" s="33">
        <v>45</v>
      </c>
    </row>
    <row r="124" spans="1:3" x14ac:dyDescent="0.25">
      <c r="A124" s="18" t="s">
        <v>211</v>
      </c>
      <c r="B124" s="32" t="s">
        <v>392</v>
      </c>
      <c r="C124" s="33">
        <v>46</v>
      </c>
    </row>
    <row r="125" spans="1:3" x14ac:dyDescent="0.25">
      <c r="A125" s="18" t="s">
        <v>211</v>
      </c>
      <c r="B125" s="32" t="s">
        <v>393</v>
      </c>
      <c r="C125" s="33">
        <v>47</v>
      </c>
    </row>
    <row r="126" spans="1:3" x14ac:dyDescent="0.25">
      <c r="A126" s="18" t="s">
        <v>211</v>
      </c>
      <c r="B126" s="32" t="s">
        <v>394</v>
      </c>
      <c r="C126" s="33">
        <v>48</v>
      </c>
    </row>
    <row r="127" spans="1:3" x14ac:dyDescent="0.25">
      <c r="A127" s="18" t="s">
        <v>211</v>
      </c>
      <c r="B127" s="32" t="s">
        <v>395</v>
      </c>
      <c r="C127" s="33">
        <v>49</v>
      </c>
    </row>
    <row r="128" spans="1:3" x14ac:dyDescent="0.25">
      <c r="A128" s="18" t="s">
        <v>211</v>
      </c>
      <c r="B128" s="32" t="s">
        <v>396</v>
      </c>
      <c r="C128" s="33">
        <v>50</v>
      </c>
    </row>
    <row r="129" spans="1:3" x14ac:dyDescent="0.25">
      <c r="A129" s="18" t="s">
        <v>211</v>
      </c>
      <c r="B129" s="32" t="s">
        <v>397</v>
      </c>
      <c r="C129" s="33">
        <v>51</v>
      </c>
    </row>
    <row r="130" spans="1:3" x14ac:dyDescent="0.25">
      <c r="A130" s="18" t="s">
        <v>211</v>
      </c>
      <c r="B130" s="32" t="s">
        <v>398</v>
      </c>
      <c r="C130" s="33">
        <v>52</v>
      </c>
    </row>
    <row r="131" spans="1:3" x14ac:dyDescent="0.25">
      <c r="A131" s="18" t="s">
        <v>211</v>
      </c>
      <c r="B131" s="32" t="s">
        <v>399</v>
      </c>
      <c r="C131" s="33">
        <v>53</v>
      </c>
    </row>
    <row r="132" spans="1:3" x14ac:dyDescent="0.25">
      <c r="A132" s="18" t="s">
        <v>211</v>
      </c>
      <c r="B132" s="32" t="s">
        <v>400</v>
      </c>
      <c r="C132" s="33">
        <v>54</v>
      </c>
    </row>
    <row r="133" spans="1:3" x14ac:dyDescent="0.25">
      <c r="A133" s="18" t="s">
        <v>211</v>
      </c>
      <c r="B133" s="32" t="s">
        <v>401</v>
      </c>
      <c r="C133" s="33">
        <v>55</v>
      </c>
    </row>
    <row r="134" spans="1:3" x14ac:dyDescent="0.25">
      <c r="A134" s="18" t="s">
        <v>211</v>
      </c>
      <c r="B134" s="32" t="s">
        <v>402</v>
      </c>
      <c r="C134" s="33">
        <v>56</v>
      </c>
    </row>
    <row r="135" spans="1:3" x14ac:dyDescent="0.25">
      <c r="A135" s="18" t="s">
        <v>211</v>
      </c>
      <c r="B135" s="32" t="s">
        <v>403</v>
      </c>
      <c r="C135" s="33">
        <v>57</v>
      </c>
    </row>
    <row r="136" spans="1:3" x14ac:dyDescent="0.25">
      <c r="A136" s="18" t="s">
        <v>211</v>
      </c>
      <c r="B136" s="32" t="s">
        <v>404</v>
      </c>
      <c r="C136" s="33">
        <v>58</v>
      </c>
    </row>
    <row r="137" spans="1:3" x14ac:dyDescent="0.25">
      <c r="A137" s="18" t="s">
        <v>211</v>
      </c>
      <c r="B137" s="32" t="s">
        <v>405</v>
      </c>
      <c r="C137" s="33">
        <v>59</v>
      </c>
    </row>
    <row r="138" spans="1:3" x14ac:dyDescent="0.25">
      <c r="A138" s="18" t="s">
        <v>211</v>
      </c>
      <c r="B138" s="23" t="s">
        <v>406</v>
      </c>
      <c r="C138" s="33">
        <v>60</v>
      </c>
    </row>
    <row r="139" spans="1:3" x14ac:dyDescent="0.25">
      <c r="A139" s="18" t="s">
        <v>211</v>
      </c>
      <c r="B139" s="32" t="s">
        <v>407</v>
      </c>
      <c r="C139" s="33">
        <v>61</v>
      </c>
    </row>
    <row r="140" spans="1:3" x14ac:dyDescent="0.25">
      <c r="A140" s="18" t="s">
        <v>211</v>
      </c>
      <c r="B140" s="23" t="s">
        <v>408</v>
      </c>
      <c r="C140" s="33">
        <v>62</v>
      </c>
    </row>
    <row r="141" spans="1:3" x14ac:dyDescent="0.25">
      <c r="A141" s="18" t="s">
        <v>211</v>
      </c>
      <c r="B141" s="32" t="s">
        <v>409</v>
      </c>
      <c r="C141" s="33">
        <v>63</v>
      </c>
    </row>
    <row r="142" spans="1:3" x14ac:dyDescent="0.25">
      <c r="A142" s="18" t="s">
        <v>211</v>
      </c>
      <c r="B142" s="32" t="s">
        <v>410</v>
      </c>
      <c r="C142" s="33">
        <v>64</v>
      </c>
    </row>
    <row r="143" spans="1:3" x14ac:dyDescent="0.25">
      <c r="A143" s="18" t="s">
        <v>211</v>
      </c>
      <c r="B143" s="32" t="s">
        <v>411</v>
      </c>
      <c r="C143" s="33">
        <v>65</v>
      </c>
    </row>
    <row r="144" spans="1:3" x14ac:dyDescent="0.25">
      <c r="A144" s="18" t="s">
        <v>211</v>
      </c>
      <c r="B144" s="32" t="s">
        <v>412</v>
      </c>
      <c r="C144" s="33">
        <v>66</v>
      </c>
    </row>
    <row r="145" spans="1:3" x14ac:dyDescent="0.25">
      <c r="A145" s="18" t="s">
        <v>211</v>
      </c>
      <c r="B145" s="32" t="s">
        <v>413</v>
      </c>
      <c r="C145" s="33">
        <v>67</v>
      </c>
    </row>
    <row r="146" spans="1:3" x14ac:dyDescent="0.25">
      <c r="A146" s="18" t="s">
        <v>211</v>
      </c>
      <c r="B146" s="32" t="s">
        <v>414</v>
      </c>
      <c r="C146" s="33">
        <v>68</v>
      </c>
    </row>
    <row r="147" spans="1:3" x14ac:dyDescent="0.25">
      <c r="A147" s="18" t="s">
        <v>211</v>
      </c>
      <c r="B147" s="32" t="s">
        <v>415</v>
      </c>
      <c r="C147" s="33">
        <v>69</v>
      </c>
    </row>
    <row r="148" spans="1:3" x14ac:dyDescent="0.25">
      <c r="A148" s="18" t="s">
        <v>211</v>
      </c>
      <c r="B148" s="32" t="s">
        <v>416</v>
      </c>
      <c r="C148" s="33">
        <v>70</v>
      </c>
    </row>
    <row r="149" spans="1:3" x14ac:dyDescent="0.25">
      <c r="A149" s="18" t="s">
        <v>211</v>
      </c>
      <c r="B149" s="32" t="s">
        <v>417</v>
      </c>
      <c r="C149" s="33">
        <v>71</v>
      </c>
    </row>
    <row r="150" spans="1:3" x14ac:dyDescent="0.25">
      <c r="A150" s="18" t="s">
        <v>211</v>
      </c>
      <c r="B150" s="32" t="s">
        <v>418</v>
      </c>
      <c r="C150" s="33">
        <v>72</v>
      </c>
    </row>
    <row r="151" spans="1:3" x14ac:dyDescent="0.25">
      <c r="A151" s="18" t="s">
        <v>211</v>
      </c>
      <c r="B151" s="32" t="s">
        <v>419</v>
      </c>
      <c r="C151" s="33">
        <v>73</v>
      </c>
    </row>
    <row r="152" spans="1:3" x14ac:dyDescent="0.25">
      <c r="A152" s="18" t="s">
        <v>211</v>
      </c>
      <c r="B152" s="32" t="s">
        <v>420</v>
      </c>
      <c r="C152" s="33">
        <v>74</v>
      </c>
    </row>
    <row r="153" spans="1:3" x14ac:dyDescent="0.25">
      <c r="A153" s="18" t="s">
        <v>211</v>
      </c>
      <c r="B153" s="32" t="s">
        <v>421</v>
      </c>
      <c r="C153" s="33">
        <v>75</v>
      </c>
    </row>
    <row r="154" spans="1:3" x14ac:dyDescent="0.25">
      <c r="A154" s="18" t="s">
        <v>211</v>
      </c>
      <c r="B154" s="32" t="s">
        <v>422</v>
      </c>
      <c r="C154" s="33">
        <v>76</v>
      </c>
    </row>
    <row r="155" spans="1:3" x14ac:dyDescent="0.25">
      <c r="A155" s="18" t="s">
        <v>211</v>
      </c>
      <c r="B155" s="32" t="s">
        <v>423</v>
      </c>
      <c r="C155" s="33">
        <v>77</v>
      </c>
    </row>
    <row r="156" spans="1:3" x14ac:dyDescent="0.25">
      <c r="A156" s="18" t="s">
        <v>211</v>
      </c>
      <c r="B156" s="32" t="s">
        <v>424</v>
      </c>
      <c r="C156" s="33">
        <v>78</v>
      </c>
    </row>
    <row r="157" spans="1:3" x14ac:dyDescent="0.25">
      <c r="A157" s="18" t="s">
        <v>211</v>
      </c>
      <c r="B157" s="32" t="s">
        <v>425</v>
      </c>
      <c r="C157" s="33">
        <v>79</v>
      </c>
    </row>
    <row r="158" spans="1:3" x14ac:dyDescent="0.25">
      <c r="A158" s="18" t="s">
        <v>211</v>
      </c>
      <c r="B158" s="32" t="s">
        <v>426</v>
      </c>
      <c r="C158" s="33">
        <v>80</v>
      </c>
    </row>
    <row r="159" spans="1:3" x14ac:dyDescent="0.25">
      <c r="A159" s="18" t="s">
        <v>211</v>
      </c>
      <c r="B159" s="32" t="s">
        <v>427</v>
      </c>
      <c r="C159" s="33">
        <v>81</v>
      </c>
    </row>
    <row r="160" spans="1:3" x14ac:dyDescent="0.25">
      <c r="A160" s="18" t="s">
        <v>211</v>
      </c>
      <c r="B160" s="32" t="s">
        <v>228</v>
      </c>
      <c r="C160" s="33">
        <v>82</v>
      </c>
    </row>
    <row r="161" spans="1:3" x14ac:dyDescent="0.25">
      <c r="A161" s="18" t="s">
        <v>211</v>
      </c>
      <c r="B161" s="32" t="s">
        <v>428</v>
      </c>
      <c r="C161" s="33">
        <v>83</v>
      </c>
    </row>
    <row r="162" spans="1:3" x14ac:dyDescent="0.25">
      <c r="A162" s="18" t="s">
        <v>211</v>
      </c>
      <c r="B162" s="32" t="s">
        <v>429</v>
      </c>
      <c r="C162" s="33">
        <v>84</v>
      </c>
    </row>
    <row r="163" spans="1:3" x14ac:dyDescent="0.25">
      <c r="A163" s="18" t="s">
        <v>211</v>
      </c>
      <c r="B163" s="32" t="s">
        <v>430</v>
      </c>
      <c r="C163" s="33">
        <v>85</v>
      </c>
    </row>
    <row r="164" spans="1:3" x14ac:dyDescent="0.25">
      <c r="A164" s="18" t="s">
        <v>211</v>
      </c>
      <c r="B164" s="32" t="s">
        <v>431</v>
      </c>
      <c r="C164" s="33">
        <v>86</v>
      </c>
    </row>
    <row r="165" spans="1:3" x14ac:dyDescent="0.25">
      <c r="A165" s="18" t="s">
        <v>211</v>
      </c>
      <c r="B165" s="32" t="s">
        <v>432</v>
      </c>
      <c r="C165" s="33">
        <v>87</v>
      </c>
    </row>
    <row r="166" spans="1:3" x14ac:dyDescent="0.25">
      <c r="A166" s="18" t="s">
        <v>211</v>
      </c>
      <c r="B166" s="32" t="s">
        <v>433</v>
      </c>
      <c r="C166" s="33">
        <v>88</v>
      </c>
    </row>
    <row r="167" spans="1:3" x14ac:dyDescent="0.25">
      <c r="A167" s="18" t="s">
        <v>211</v>
      </c>
      <c r="B167" s="32" t="s">
        <v>434</v>
      </c>
      <c r="C167" s="33">
        <v>89</v>
      </c>
    </row>
    <row r="168" spans="1:3" x14ac:dyDescent="0.25">
      <c r="A168" s="18" t="s">
        <v>211</v>
      </c>
      <c r="B168" s="32" t="s">
        <v>435</v>
      </c>
      <c r="C168" s="33">
        <v>90</v>
      </c>
    </row>
    <row r="169" spans="1:3" x14ac:dyDescent="0.25">
      <c r="A169" s="18" t="s">
        <v>211</v>
      </c>
      <c r="B169" s="32" t="s">
        <v>436</v>
      </c>
      <c r="C169" s="33">
        <v>91</v>
      </c>
    </row>
    <row r="170" spans="1:3" x14ac:dyDescent="0.25">
      <c r="A170" s="18" t="s">
        <v>211</v>
      </c>
      <c r="B170" s="32" t="s">
        <v>437</v>
      </c>
      <c r="C170" s="33">
        <v>92</v>
      </c>
    </row>
    <row r="171" spans="1:3" x14ac:dyDescent="0.25">
      <c r="A171" s="18" t="s">
        <v>211</v>
      </c>
      <c r="B171" s="32" t="s">
        <v>438</v>
      </c>
      <c r="C171" s="33">
        <v>93</v>
      </c>
    </row>
    <row r="172" spans="1:3" x14ac:dyDescent="0.25">
      <c r="A172" s="18" t="s">
        <v>211</v>
      </c>
      <c r="B172" s="32" t="s">
        <v>439</v>
      </c>
      <c r="C172" s="33">
        <v>94</v>
      </c>
    </row>
    <row r="173" spans="1:3" x14ac:dyDescent="0.25">
      <c r="A173" s="18" t="s">
        <v>211</v>
      </c>
      <c r="B173" s="32" t="s">
        <v>440</v>
      </c>
      <c r="C173" s="33">
        <v>95</v>
      </c>
    </row>
    <row r="174" spans="1:3" x14ac:dyDescent="0.25">
      <c r="A174" s="18" t="s">
        <v>211</v>
      </c>
      <c r="B174" s="32" t="s">
        <v>441</v>
      </c>
      <c r="C174" s="33">
        <v>96</v>
      </c>
    </row>
    <row r="175" spans="1:3" x14ac:dyDescent="0.25">
      <c r="A175" s="18" t="s">
        <v>211</v>
      </c>
      <c r="B175" s="32" t="s">
        <v>442</v>
      </c>
      <c r="C175" s="33">
        <v>97</v>
      </c>
    </row>
    <row r="176" spans="1:3" x14ac:dyDescent="0.25">
      <c r="A176" s="18" t="s">
        <v>211</v>
      </c>
      <c r="B176" s="32" t="s">
        <v>443</v>
      </c>
      <c r="C176" s="33">
        <v>98</v>
      </c>
    </row>
    <row r="177" spans="1:3" x14ac:dyDescent="0.25">
      <c r="A177" s="18" t="s">
        <v>211</v>
      </c>
      <c r="B177" s="32" t="s">
        <v>444</v>
      </c>
      <c r="C177" s="33">
        <v>99</v>
      </c>
    </row>
    <row r="178" spans="1:3" x14ac:dyDescent="0.25">
      <c r="A178" s="18" t="s">
        <v>211</v>
      </c>
      <c r="B178" s="32" t="s">
        <v>445</v>
      </c>
      <c r="C178" s="33">
        <v>100</v>
      </c>
    </row>
    <row r="179" spans="1:3" x14ac:dyDescent="0.25">
      <c r="A179" s="18" t="s">
        <v>211</v>
      </c>
      <c r="B179" s="32" t="s">
        <v>540</v>
      </c>
      <c r="C179" s="33">
        <v>101</v>
      </c>
    </row>
    <row r="180" spans="1:3" x14ac:dyDescent="0.25">
      <c r="A180" s="18" t="s">
        <v>211</v>
      </c>
      <c r="B180" s="34" t="s">
        <v>446</v>
      </c>
      <c r="C180" s="33">
        <v>102</v>
      </c>
    </row>
    <row r="181" spans="1:3" x14ac:dyDescent="0.25">
      <c r="A181" s="18" t="s">
        <v>211</v>
      </c>
      <c r="B181" s="34" t="s">
        <v>447</v>
      </c>
      <c r="C181" s="35">
        <v>103</v>
      </c>
    </row>
    <row r="182" spans="1:3" x14ac:dyDescent="0.25">
      <c r="A182" s="58" t="s">
        <v>211</v>
      </c>
      <c r="B182" s="57" t="s">
        <v>582</v>
      </c>
      <c r="C182" s="63">
        <v>104</v>
      </c>
    </row>
    <row r="183" spans="1:3" x14ac:dyDescent="0.25">
      <c r="A183" s="18" t="s">
        <v>211</v>
      </c>
      <c r="B183" s="32" t="s">
        <v>262</v>
      </c>
      <c r="C183" s="33">
        <v>104</v>
      </c>
    </row>
    <row r="184" spans="1:3" x14ac:dyDescent="0.25">
      <c r="A184" s="18" t="s">
        <v>211</v>
      </c>
      <c r="B184" s="32" t="s">
        <v>471</v>
      </c>
      <c r="C184" s="33">
        <v>105</v>
      </c>
    </row>
    <row r="185" spans="1:3" x14ac:dyDescent="0.25">
      <c r="A185" s="18" t="s">
        <v>211</v>
      </c>
      <c r="B185" s="32" t="s">
        <v>481</v>
      </c>
      <c r="C185" s="33">
        <v>106</v>
      </c>
    </row>
    <row r="186" spans="1:3" x14ac:dyDescent="0.25">
      <c r="A186" s="18" t="s">
        <v>211</v>
      </c>
      <c r="B186" s="32" t="s">
        <v>480</v>
      </c>
      <c r="C186" s="33">
        <v>107</v>
      </c>
    </row>
    <row r="187" spans="1:3" x14ac:dyDescent="0.25">
      <c r="A187" s="18" t="s">
        <v>211</v>
      </c>
      <c r="B187" s="34" t="s">
        <v>479</v>
      </c>
      <c r="C187" s="35">
        <v>108</v>
      </c>
    </row>
    <row r="188" spans="1:3" x14ac:dyDescent="0.25">
      <c r="A188" s="18" t="s">
        <v>211</v>
      </c>
      <c r="B188" s="32" t="s">
        <v>482</v>
      </c>
      <c r="C188" s="33">
        <v>109</v>
      </c>
    </row>
    <row r="189" spans="1:3" x14ac:dyDescent="0.25">
      <c r="A189" s="18" t="s">
        <v>211</v>
      </c>
      <c r="B189" s="32" t="s">
        <v>483</v>
      </c>
      <c r="C189" s="33">
        <v>110</v>
      </c>
    </row>
    <row r="190" spans="1:3" x14ac:dyDescent="0.25">
      <c r="A190" s="18" t="s">
        <v>211</v>
      </c>
      <c r="B190" s="32" t="s">
        <v>486</v>
      </c>
      <c r="C190" s="35">
        <v>111</v>
      </c>
    </row>
    <row r="191" spans="1:3" x14ac:dyDescent="0.25">
      <c r="A191" s="18" t="s">
        <v>211</v>
      </c>
      <c r="B191" s="32" t="s">
        <v>487</v>
      </c>
      <c r="C191" s="33">
        <v>112</v>
      </c>
    </row>
    <row r="192" spans="1:3" x14ac:dyDescent="0.25">
      <c r="A192" s="18" t="s">
        <v>211</v>
      </c>
      <c r="B192" s="34" t="s">
        <v>488</v>
      </c>
      <c r="C192" s="33">
        <v>113</v>
      </c>
    </row>
    <row r="193" spans="1:3" x14ac:dyDescent="0.25">
      <c r="A193" s="18" t="s">
        <v>211</v>
      </c>
      <c r="B193" s="34" t="s">
        <v>489</v>
      </c>
      <c r="C193" s="35">
        <v>114</v>
      </c>
    </row>
    <row r="194" spans="1:3" x14ac:dyDescent="0.25">
      <c r="A194" s="19" t="s">
        <v>211</v>
      </c>
      <c r="B194" s="34" t="s">
        <v>490</v>
      </c>
      <c r="C194" s="35">
        <v>115</v>
      </c>
    </row>
    <row r="195" spans="1:3" x14ac:dyDescent="0.25">
      <c r="A195" s="19" t="s">
        <v>211</v>
      </c>
      <c r="B195" s="34" t="s">
        <v>531</v>
      </c>
      <c r="C195" s="35">
        <v>116</v>
      </c>
    </row>
    <row r="196" spans="1:3" x14ac:dyDescent="0.25">
      <c r="A196" s="19" t="s">
        <v>211</v>
      </c>
      <c r="B196" s="55" t="s">
        <v>607</v>
      </c>
      <c r="C196" s="60">
        <v>117</v>
      </c>
    </row>
    <row r="197" spans="1:3" x14ac:dyDescent="0.25">
      <c r="A197" s="82" t="s">
        <v>211</v>
      </c>
      <c r="B197" s="83" t="s">
        <v>651</v>
      </c>
      <c r="C197" s="84">
        <v>118</v>
      </c>
    </row>
  </sheetData>
  <dataValidations count="2">
    <dataValidation type="list" allowBlank="1" showInputMessage="1" showErrorMessage="1" error="Выбирать только из списка!" sqref="A2:A197">
      <formula1>БЕ</formula1>
    </dataValidation>
    <dataValidation allowBlank="1" showInputMessage="1" showErrorMessage="1" sqref="B183:B192 B181 B2:B76 C2:C78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Списки"/>
  <dimension ref="A1:G15"/>
  <sheetViews>
    <sheetView workbookViewId="0">
      <pane ySplit="1" topLeftCell="A2" activePane="bottomLeft" state="frozenSplit"/>
      <selection pane="bottomLeft" activeCell="A3" sqref="A3"/>
    </sheetView>
  </sheetViews>
  <sheetFormatPr defaultRowHeight="15" x14ac:dyDescent="0.25"/>
  <cols>
    <col min="1" max="1" width="12.85546875" customWidth="1"/>
    <col min="2" max="2" width="2.85546875" customWidth="1"/>
    <col min="3" max="3" width="16.85546875" bestFit="1" customWidth="1"/>
    <col min="4" max="4" width="2.85546875" customWidth="1"/>
    <col min="5" max="5" width="18.7109375" customWidth="1"/>
    <col min="6" max="6" width="2.85546875" customWidth="1"/>
    <col min="7" max="7" width="35" customWidth="1"/>
  </cols>
  <sheetData>
    <row r="1" spans="1:7" x14ac:dyDescent="0.25">
      <c r="A1" s="27" t="s">
        <v>205</v>
      </c>
      <c r="C1" s="3" t="s">
        <v>11</v>
      </c>
      <c r="E1" s="3" t="s">
        <v>20</v>
      </c>
      <c r="G1" s="27" t="s">
        <v>52</v>
      </c>
    </row>
    <row r="2" spans="1:7" x14ac:dyDescent="0.25">
      <c r="A2" s="20" t="s">
        <v>208</v>
      </c>
      <c r="C2" s="1" t="s">
        <v>10</v>
      </c>
      <c r="E2" s="1" t="s">
        <v>16</v>
      </c>
      <c r="G2" s="20" t="s">
        <v>38</v>
      </c>
    </row>
    <row r="3" spans="1:7" x14ac:dyDescent="0.25">
      <c r="A3" s="20" t="s">
        <v>207</v>
      </c>
      <c r="C3" s="1" t="s">
        <v>12</v>
      </c>
      <c r="E3" s="1" t="s">
        <v>588</v>
      </c>
      <c r="G3" s="20" t="s">
        <v>39</v>
      </c>
    </row>
    <row r="4" spans="1:7" x14ac:dyDescent="0.25">
      <c r="A4" s="28" t="s">
        <v>206</v>
      </c>
      <c r="C4" s="2" t="s">
        <v>312</v>
      </c>
      <c r="E4" s="46" t="s">
        <v>320</v>
      </c>
      <c r="G4" s="20" t="s">
        <v>40</v>
      </c>
    </row>
    <row r="5" spans="1:7" x14ac:dyDescent="0.25">
      <c r="A5" s="31" t="s">
        <v>211</v>
      </c>
      <c r="C5" s="2" t="s">
        <v>13</v>
      </c>
      <c r="E5" s="46" t="s">
        <v>313</v>
      </c>
      <c r="G5" s="20" t="s">
        <v>41</v>
      </c>
    </row>
    <row r="6" spans="1:7" x14ac:dyDescent="0.25">
      <c r="E6" s="36" t="s">
        <v>467</v>
      </c>
      <c r="G6" s="20" t="s">
        <v>42</v>
      </c>
    </row>
    <row r="7" spans="1:7" x14ac:dyDescent="0.25">
      <c r="E7" s="2" t="s">
        <v>576</v>
      </c>
      <c r="G7" s="20" t="s">
        <v>43</v>
      </c>
    </row>
    <row r="8" spans="1:7" x14ac:dyDescent="0.25">
      <c r="E8" s="2" t="s">
        <v>89</v>
      </c>
      <c r="G8" s="20" t="s">
        <v>44</v>
      </c>
    </row>
    <row r="9" spans="1:7" x14ac:dyDescent="0.25">
      <c r="E9" s="2" t="s">
        <v>15</v>
      </c>
      <c r="G9" s="20" t="s">
        <v>45</v>
      </c>
    </row>
    <row r="10" spans="1:7" x14ac:dyDescent="0.25">
      <c r="E10" s="36" t="s">
        <v>529</v>
      </c>
      <c r="G10" s="20" t="s">
        <v>46</v>
      </c>
    </row>
    <row r="11" spans="1:7" x14ac:dyDescent="0.25">
      <c r="E11" s="2" t="s">
        <v>14</v>
      </c>
      <c r="G11" s="20" t="s">
        <v>47</v>
      </c>
    </row>
    <row r="12" spans="1:7" x14ac:dyDescent="0.25">
      <c r="E12" s="36" t="s">
        <v>345</v>
      </c>
      <c r="G12" s="20" t="s">
        <v>48</v>
      </c>
    </row>
    <row r="13" spans="1:7" x14ac:dyDescent="0.25">
      <c r="E13" s="2" t="s">
        <v>17</v>
      </c>
      <c r="G13" s="20" t="s">
        <v>49</v>
      </c>
    </row>
    <row r="14" spans="1:7" x14ac:dyDescent="0.25">
      <c r="E14" s="2" t="s">
        <v>18</v>
      </c>
      <c r="G14" s="28" t="s">
        <v>50</v>
      </c>
    </row>
    <row r="15" spans="1:7" x14ac:dyDescent="0.25">
      <c r="G15" s="28" t="s">
        <v>51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исьмо"/>
  <dimension ref="A1:B20"/>
  <sheetViews>
    <sheetView zoomScale="130" zoomScaleNormal="13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104.28515625" customWidth="1"/>
    <col min="2" max="2" width="14.28515625" style="11" customWidth="1"/>
  </cols>
  <sheetData>
    <row r="1" spans="1:2" x14ac:dyDescent="0.25">
      <c r="A1" s="9" t="s">
        <v>35</v>
      </c>
      <c r="B1" s="101" t="s">
        <v>36</v>
      </c>
    </row>
    <row r="2" spans="1:2" x14ac:dyDescent="0.25">
      <c r="A2" s="13" t="s">
        <v>662</v>
      </c>
      <c r="B2" s="102"/>
    </row>
    <row r="3" spans="1:2" x14ac:dyDescent="0.25">
      <c r="A3" s="13" t="s">
        <v>37</v>
      </c>
      <c r="B3" s="102"/>
    </row>
    <row r="4" spans="1:2" x14ac:dyDescent="0.25">
      <c r="A4" s="13"/>
      <c r="B4" s="102"/>
    </row>
    <row r="5" spans="1:2" ht="25.5" x14ac:dyDescent="0.25">
      <c r="A5" s="13" t="s">
        <v>699</v>
      </c>
      <c r="B5" s="103"/>
    </row>
    <row r="6" spans="1:2" x14ac:dyDescent="0.25">
      <c r="A6" s="13" t="s">
        <v>688</v>
      </c>
      <c r="B6" s="103"/>
    </row>
    <row r="7" spans="1:2" x14ac:dyDescent="0.25">
      <c r="A7" s="99"/>
      <c r="B7" s="104"/>
    </row>
    <row r="8" spans="1:2" x14ac:dyDescent="0.25">
      <c r="A8" s="13" t="s">
        <v>623</v>
      </c>
      <c r="B8" s="102"/>
    </row>
    <row r="9" spans="1:2" x14ac:dyDescent="0.25">
      <c r="A9" s="13" t="s">
        <v>683</v>
      </c>
      <c r="B9" s="102"/>
    </row>
    <row r="10" spans="1:2" x14ac:dyDescent="0.25">
      <c r="A10" s="13" t="s">
        <v>685</v>
      </c>
      <c r="B10" s="102"/>
    </row>
    <row r="11" spans="1:2" x14ac:dyDescent="0.25">
      <c r="A11" s="13"/>
      <c r="B11" s="103"/>
    </row>
    <row r="12" spans="1:2" x14ac:dyDescent="0.25">
      <c r="A12" s="13" t="s">
        <v>621</v>
      </c>
      <c r="B12" s="102"/>
    </row>
    <row r="13" spans="1:2" x14ac:dyDescent="0.25">
      <c r="A13" s="13" t="s">
        <v>622</v>
      </c>
      <c r="B13" s="102"/>
    </row>
    <row r="14" spans="1:2" x14ac:dyDescent="0.25">
      <c r="A14" s="13"/>
      <c r="B14" s="102"/>
    </row>
    <row r="15" spans="1:2" ht="38.25" x14ac:dyDescent="0.25">
      <c r="A15" s="13" t="s">
        <v>686</v>
      </c>
      <c r="B15" s="102"/>
    </row>
    <row r="16" spans="1:2" ht="25.5" x14ac:dyDescent="0.25">
      <c r="A16" s="13" t="s">
        <v>663</v>
      </c>
      <c r="B16" s="102">
        <v>1</v>
      </c>
    </row>
    <row r="17" spans="1:2" x14ac:dyDescent="0.25">
      <c r="A17" s="99"/>
      <c r="B17" s="102"/>
    </row>
    <row r="18" spans="1:2" ht="27" customHeight="1" x14ac:dyDescent="0.25">
      <c r="A18" s="13"/>
      <c r="B18" s="102"/>
    </row>
    <row r="19" spans="1:2" x14ac:dyDescent="0.25">
      <c r="A19" s="13" t="s">
        <v>562</v>
      </c>
      <c r="B19" s="102"/>
    </row>
    <row r="20" spans="1:2" x14ac:dyDescent="0.25">
      <c r="A20" s="100" t="s">
        <v>624</v>
      </c>
      <c r="B20" s="105"/>
    </row>
  </sheetData>
  <dataValidations disablePrompts="1" count="1">
    <dataValidation type="whole" allowBlank="1" showInputMessage="1" showErrorMessage="1" error="1 или пусто" sqref="B2:B20">
      <formula1>1</formula1>
      <formula2>1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исьмо2"/>
  <dimension ref="A1:B13"/>
  <sheetViews>
    <sheetView zoomScale="110" zoomScaleNormal="110" workbookViewId="0">
      <selection activeCell="A9" sqref="A9"/>
    </sheetView>
  </sheetViews>
  <sheetFormatPr defaultRowHeight="15" x14ac:dyDescent="0.25"/>
  <cols>
    <col min="1" max="1" width="112.140625" customWidth="1"/>
    <col min="2" max="2" width="12.5703125" style="109" customWidth="1"/>
  </cols>
  <sheetData>
    <row r="1" spans="1:2" x14ac:dyDescent="0.25">
      <c r="A1" s="67" t="s">
        <v>35</v>
      </c>
      <c r="B1" s="106" t="s">
        <v>36</v>
      </c>
    </row>
    <row r="2" spans="1:2" x14ac:dyDescent="0.25">
      <c r="A2" s="96" t="s">
        <v>611</v>
      </c>
      <c r="B2" s="107"/>
    </row>
    <row r="3" spans="1:2" x14ac:dyDescent="0.25">
      <c r="A3" s="96" t="s">
        <v>37</v>
      </c>
      <c r="B3" s="107"/>
    </row>
    <row r="4" spans="1:2" x14ac:dyDescent="0.25">
      <c r="A4" s="96"/>
      <c r="B4" s="107"/>
    </row>
    <row r="5" spans="1:2" x14ac:dyDescent="0.25">
      <c r="A5" s="96" t="s">
        <v>641</v>
      </c>
      <c r="B5" s="107"/>
    </row>
    <row r="6" spans="1:2" ht="25.5" x14ac:dyDescent="0.25">
      <c r="A6" s="96" t="s">
        <v>690</v>
      </c>
      <c r="B6" s="107"/>
    </row>
    <row r="7" spans="1:2" ht="30" customHeight="1" x14ac:dyDescent="0.25">
      <c r="A7" s="96" t="s">
        <v>672</v>
      </c>
      <c r="B7" s="107"/>
    </row>
    <row r="8" spans="1:2" x14ac:dyDescent="0.25">
      <c r="A8" s="96" t="s">
        <v>684</v>
      </c>
      <c r="B8" s="107"/>
    </row>
    <row r="9" spans="1:2" ht="24.75" customHeight="1" x14ac:dyDescent="0.25">
      <c r="A9" s="96" t="s">
        <v>687</v>
      </c>
      <c r="B9" s="107"/>
    </row>
    <row r="10" spans="1:2" ht="24.75" customHeight="1" x14ac:dyDescent="0.25">
      <c r="A10" s="97" t="s">
        <v>612</v>
      </c>
      <c r="B10" s="107"/>
    </row>
    <row r="11" spans="1:2" x14ac:dyDescent="0.25">
      <c r="A11" s="96"/>
      <c r="B11" s="107"/>
    </row>
    <row r="12" spans="1:2" x14ac:dyDescent="0.25">
      <c r="A12" s="96" t="s">
        <v>562</v>
      </c>
      <c r="B12" s="107"/>
    </row>
    <row r="13" spans="1:2" x14ac:dyDescent="0.25">
      <c r="A13" s="98" t="s">
        <v>624</v>
      </c>
      <c r="B13" s="108"/>
    </row>
  </sheetData>
  <dataValidations count="1">
    <dataValidation type="whole" allowBlank="1" showInputMessage="1" showErrorMessage="1" error="1 или пусто" sqref="B2:B13">
      <formula1>1</formula1>
      <formula2>1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Инструкция"/>
  <dimension ref="A1:C9"/>
  <sheetViews>
    <sheetView zoomScale="120" zoomScaleNormal="120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7.5703125" style="10" customWidth="1"/>
    <col min="2" max="2" width="91.85546875" style="10" customWidth="1"/>
    <col min="3" max="3" width="15" style="109" customWidth="1"/>
  </cols>
  <sheetData>
    <row r="1" spans="1:3" x14ac:dyDescent="0.25">
      <c r="A1" s="12" t="s">
        <v>195</v>
      </c>
      <c r="B1" s="9" t="s">
        <v>202</v>
      </c>
      <c r="C1" s="101" t="s">
        <v>36</v>
      </c>
    </row>
    <row r="2" spans="1:3" x14ac:dyDescent="0.25">
      <c r="A2" s="15">
        <v>1</v>
      </c>
      <c r="B2" s="13" t="s">
        <v>563</v>
      </c>
      <c r="C2" s="103"/>
    </row>
    <row r="3" spans="1:3" x14ac:dyDescent="0.25">
      <c r="A3" s="16">
        <v>2</v>
      </c>
      <c r="B3" s="13" t="s">
        <v>201</v>
      </c>
      <c r="C3" s="110"/>
    </row>
    <row r="4" spans="1:3" ht="25.5" x14ac:dyDescent="0.25">
      <c r="A4" s="15">
        <v>3</v>
      </c>
      <c r="B4" s="13" t="s">
        <v>673</v>
      </c>
      <c r="C4" s="110"/>
    </row>
    <row r="5" spans="1:3" ht="25.5" x14ac:dyDescent="0.25">
      <c r="A5" s="16">
        <v>4</v>
      </c>
      <c r="B5" s="14" t="s">
        <v>203</v>
      </c>
      <c r="C5" s="111"/>
    </row>
    <row r="6" spans="1:3" x14ac:dyDescent="0.25">
      <c r="A6" s="15">
        <v>5</v>
      </c>
      <c r="B6" s="17" t="s">
        <v>204</v>
      </c>
      <c r="C6" s="110"/>
    </row>
    <row r="7" spans="1:3" ht="25.5" x14ac:dyDescent="0.25">
      <c r="A7" s="88"/>
      <c r="B7" s="89" t="s">
        <v>674</v>
      </c>
      <c r="C7" s="112"/>
    </row>
    <row r="8" spans="1:3" x14ac:dyDescent="0.25">
      <c r="A8" s="16">
        <v>6</v>
      </c>
      <c r="B8" s="13" t="s">
        <v>564</v>
      </c>
      <c r="C8" s="103"/>
    </row>
    <row r="9" spans="1:3" ht="25.5" x14ac:dyDescent="0.25">
      <c r="A9" s="15">
        <v>7</v>
      </c>
      <c r="B9" s="14" t="s">
        <v>565</v>
      </c>
      <c r="C9" s="113"/>
    </row>
  </sheetData>
  <dataValidations count="1">
    <dataValidation type="whole" allowBlank="1" showInputMessage="1" showErrorMessage="1" error="1 или пусто" sqref="C2:C9">
      <formula1>1</formula1>
      <formula2>1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Сводная"/>
  <dimension ref="A3:D455"/>
  <sheetViews>
    <sheetView workbookViewId="0">
      <pane ySplit="3" topLeftCell="A290" activePane="bottomLeft" state="frozen"/>
      <selection pane="bottomLeft" activeCell="C294" sqref="C294"/>
    </sheetView>
  </sheetViews>
  <sheetFormatPr defaultRowHeight="15" x14ac:dyDescent="0.25"/>
  <cols>
    <col min="1" max="1" width="38.140625" customWidth="1"/>
    <col min="2" max="2" width="24.42578125" customWidth="1"/>
    <col min="3" max="4" width="34.85546875" bestFit="1" customWidth="1"/>
  </cols>
  <sheetData>
    <row r="3" spans="1:4" x14ac:dyDescent="0.25">
      <c r="A3" s="40" t="s">
        <v>52</v>
      </c>
      <c r="B3" s="40" t="s">
        <v>205</v>
      </c>
      <c r="C3" s="40" t="s">
        <v>19</v>
      </c>
      <c r="D3" s="40" t="s">
        <v>22</v>
      </c>
    </row>
    <row r="4" spans="1:4" x14ac:dyDescent="0.25">
      <c r="A4" t="s">
        <v>38</v>
      </c>
      <c r="B4" t="s">
        <v>206</v>
      </c>
      <c r="C4" t="s">
        <v>8</v>
      </c>
      <c r="D4" t="s">
        <v>23</v>
      </c>
    </row>
    <row r="5" spans="1:4" x14ac:dyDescent="0.25">
      <c r="B5" t="s">
        <v>211</v>
      </c>
      <c r="C5" t="s">
        <v>469</v>
      </c>
      <c r="D5" t="s">
        <v>406</v>
      </c>
    </row>
    <row r="6" spans="1:4" x14ac:dyDescent="0.25">
      <c r="C6" t="s">
        <v>466</v>
      </c>
      <c r="D6" t="s">
        <v>398</v>
      </c>
    </row>
    <row r="7" spans="1:4" x14ac:dyDescent="0.25">
      <c r="D7" t="s">
        <v>413</v>
      </c>
    </row>
    <row r="8" spans="1:4" x14ac:dyDescent="0.25">
      <c r="C8" t="s">
        <v>639</v>
      </c>
      <c r="D8" t="s">
        <v>407</v>
      </c>
    </row>
    <row r="9" spans="1:4" x14ac:dyDescent="0.25">
      <c r="C9" t="s">
        <v>630</v>
      </c>
      <c r="D9" t="s">
        <v>396</v>
      </c>
    </row>
    <row r="10" spans="1:4" x14ac:dyDescent="0.25">
      <c r="D10" t="s">
        <v>540</v>
      </c>
    </row>
    <row r="11" spans="1:4" x14ac:dyDescent="0.25">
      <c r="C11" t="s">
        <v>629</v>
      </c>
      <c r="D11" t="s">
        <v>396</v>
      </c>
    </row>
    <row r="12" spans="1:4" x14ac:dyDescent="0.25">
      <c r="D12" t="s">
        <v>394</v>
      </c>
    </row>
    <row r="13" spans="1:4" x14ac:dyDescent="0.25">
      <c r="C13" t="s">
        <v>627</v>
      </c>
      <c r="D13" t="s">
        <v>394</v>
      </c>
    </row>
    <row r="14" spans="1:4" x14ac:dyDescent="0.25">
      <c r="A14" t="s">
        <v>39</v>
      </c>
      <c r="B14" t="s">
        <v>208</v>
      </c>
      <c r="C14" t="s">
        <v>310</v>
      </c>
      <c r="D14" t="s">
        <v>249</v>
      </c>
    </row>
    <row r="15" spans="1:4" x14ac:dyDescent="0.25">
      <c r="D15" t="s">
        <v>250</v>
      </c>
    </row>
    <row r="16" spans="1:4" x14ac:dyDescent="0.25">
      <c r="D16" t="s">
        <v>252</v>
      </c>
    </row>
    <row r="17" spans="1:4" x14ac:dyDescent="0.25">
      <c r="C17" t="s">
        <v>314</v>
      </c>
      <c r="D17" t="s">
        <v>236</v>
      </c>
    </row>
    <row r="18" spans="1:4" x14ac:dyDescent="0.25">
      <c r="D18" t="s">
        <v>557</v>
      </c>
    </row>
    <row r="19" spans="1:4" x14ac:dyDescent="0.25">
      <c r="C19" t="s">
        <v>302</v>
      </c>
      <c r="D19" t="s">
        <v>557</v>
      </c>
    </row>
    <row r="20" spans="1:4" x14ac:dyDescent="0.25">
      <c r="D20" t="s">
        <v>249</v>
      </c>
    </row>
    <row r="21" spans="1:4" x14ac:dyDescent="0.25">
      <c r="D21" t="s">
        <v>252</v>
      </c>
    </row>
    <row r="22" spans="1:4" x14ac:dyDescent="0.25">
      <c r="C22" t="s">
        <v>304</v>
      </c>
      <c r="D22" t="s">
        <v>249</v>
      </c>
    </row>
    <row r="23" spans="1:4" x14ac:dyDescent="0.25">
      <c r="C23" t="s">
        <v>308</v>
      </c>
      <c r="D23" t="s">
        <v>249</v>
      </c>
    </row>
    <row r="24" spans="1:4" x14ac:dyDescent="0.25">
      <c r="C24" t="s">
        <v>551</v>
      </c>
      <c r="D24" t="s">
        <v>257</v>
      </c>
    </row>
    <row r="25" spans="1:4" x14ac:dyDescent="0.25">
      <c r="B25" t="s">
        <v>206</v>
      </c>
      <c r="C25" t="s">
        <v>66</v>
      </c>
      <c r="D25" t="s">
        <v>32</v>
      </c>
    </row>
    <row r="26" spans="1:4" x14ac:dyDescent="0.25">
      <c r="B26" t="s">
        <v>211</v>
      </c>
      <c r="C26" t="s">
        <v>528</v>
      </c>
      <c r="D26" t="s">
        <v>531</v>
      </c>
    </row>
    <row r="27" spans="1:4" x14ac:dyDescent="0.25">
      <c r="C27" t="s">
        <v>304</v>
      </c>
      <c r="D27" t="s">
        <v>358</v>
      </c>
    </row>
    <row r="28" spans="1:4" x14ac:dyDescent="0.25">
      <c r="D28" t="s">
        <v>362</v>
      </c>
    </row>
    <row r="29" spans="1:4" x14ac:dyDescent="0.25">
      <c r="C29" t="s">
        <v>306</v>
      </c>
      <c r="D29" t="s">
        <v>358</v>
      </c>
    </row>
    <row r="30" spans="1:4" x14ac:dyDescent="0.25">
      <c r="A30" t="s">
        <v>40</v>
      </c>
      <c r="B30" t="s">
        <v>208</v>
      </c>
      <c r="C30" t="s">
        <v>333</v>
      </c>
      <c r="D30" t="s">
        <v>263</v>
      </c>
    </row>
    <row r="31" spans="1:4" x14ac:dyDescent="0.25">
      <c r="D31" t="s">
        <v>265</v>
      </c>
    </row>
    <row r="32" spans="1:4" x14ac:dyDescent="0.25">
      <c r="D32" t="s">
        <v>267</v>
      </c>
    </row>
    <row r="33" spans="2:4" x14ac:dyDescent="0.25">
      <c r="D33" t="s">
        <v>268</v>
      </c>
    </row>
    <row r="34" spans="2:4" x14ac:dyDescent="0.25">
      <c r="C34" t="s">
        <v>334</v>
      </c>
      <c r="D34" t="s">
        <v>263</v>
      </c>
    </row>
    <row r="35" spans="2:4" x14ac:dyDescent="0.25">
      <c r="D35" t="s">
        <v>265</v>
      </c>
    </row>
    <row r="36" spans="2:4" x14ac:dyDescent="0.25">
      <c r="D36" t="s">
        <v>267</v>
      </c>
    </row>
    <row r="37" spans="2:4" x14ac:dyDescent="0.25">
      <c r="D37" t="s">
        <v>268</v>
      </c>
    </row>
    <row r="38" spans="2:4" x14ac:dyDescent="0.25">
      <c r="C38" t="s">
        <v>163</v>
      </c>
      <c r="D38" t="s">
        <v>263</v>
      </c>
    </row>
    <row r="39" spans="2:4" x14ac:dyDescent="0.25">
      <c r="D39" t="s">
        <v>265</v>
      </c>
    </row>
    <row r="40" spans="2:4" x14ac:dyDescent="0.25">
      <c r="D40" t="s">
        <v>267</v>
      </c>
    </row>
    <row r="41" spans="2:4" x14ac:dyDescent="0.25">
      <c r="D41" t="s">
        <v>268</v>
      </c>
    </row>
    <row r="42" spans="2:4" x14ac:dyDescent="0.25">
      <c r="B42" t="s">
        <v>207</v>
      </c>
      <c r="C42" t="s">
        <v>163</v>
      </c>
      <c r="D42" t="s">
        <v>222</v>
      </c>
    </row>
    <row r="43" spans="2:4" x14ac:dyDescent="0.25">
      <c r="B43" t="s">
        <v>206</v>
      </c>
      <c r="C43" t="s">
        <v>163</v>
      </c>
      <c r="D43" t="s">
        <v>58</v>
      </c>
    </row>
    <row r="44" spans="2:4" x14ac:dyDescent="0.25">
      <c r="D44" t="s">
        <v>23</v>
      </c>
    </row>
    <row r="45" spans="2:4" x14ac:dyDescent="0.25">
      <c r="D45" t="s">
        <v>24</v>
      </c>
    </row>
    <row r="46" spans="2:4" x14ac:dyDescent="0.25">
      <c r="D46" t="s">
        <v>33</v>
      </c>
    </row>
    <row r="47" spans="2:4" x14ac:dyDescent="0.25">
      <c r="D47" t="s">
        <v>670</v>
      </c>
    </row>
    <row r="48" spans="2:4" x14ac:dyDescent="0.25">
      <c r="D48" t="s">
        <v>669</v>
      </c>
    </row>
    <row r="49" spans="2:4" x14ac:dyDescent="0.25">
      <c r="D49" t="s">
        <v>668</v>
      </c>
    </row>
    <row r="50" spans="2:4" x14ac:dyDescent="0.25">
      <c r="B50" t="s">
        <v>211</v>
      </c>
      <c r="C50" t="s">
        <v>333</v>
      </c>
      <c r="D50" t="s">
        <v>368</v>
      </c>
    </row>
    <row r="51" spans="2:4" x14ac:dyDescent="0.25">
      <c r="D51" t="s">
        <v>369</v>
      </c>
    </row>
    <row r="52" spans="2:4" x14ac:dyDescent="0.25">
      <c r="D52" t="s">
        <v>381</v>
      </c>
    </row>
    <row r="53" spans="2:4" x14ac:dyDescent="0.25">
      <c r="D53" t="s">
        <v>382</v>
      </c>
    </row>
    <row r="54" spans="2:4" x14ac:dyDescent="0.25">
      <c r="D54" t="s">
        <v>480</v>
      </c>
    </row>
    <row r="55" spans="2:4" x14ac:dyDescent="0.25">
      <c r="D55" t="s">
        <v>479</v>
      </c>
    </row>
    <row r="56" spans="2:4" x14ac:dyDescent="0.25">
      <c r="D56" t="s">
        <v>482</v>
      </c>
    </row>
    <row r="57" spans="2:4" x14ac:dyDescent="0.25">
      <c r="D57" t="s">
        <v>402</v>
      </c>
    </row>
    <row r="58" spans="2:4" x14ac:dyDescent="0.25">
      <c r="D58" t="s">
        <v>404</v>
      </c>
    </row>
    <row r="59" spans="2:4" x14ac:dyDescent="0.25">
      <c r="D59" t="s">
        <v>428</v>
      </c>
    </row>
    <row r="60" spans="2:4" x14ac:dyDescent="0.25">
      <c r="D60" t="s">
        <v>442</v>
      </c>
    </row>
    <row r="61" spans="2:4" x14ac:dyDescent="0.25">
      <c r="D61" t="s">
        <v>361</v>
      </c>
    </row>
    <row r="62" spans="2:4" x14ac:dyDescent="0.25">
      <c r="D62" t="s">
        <v>447</v>
      </c>
    </row>
    <row r="63" spans="2:4" x14ac:dyDescent="0.25">
      <c r="D63" t="s">
        <v>385</v>
      </c>
    </row>
    <row r="64" spans="2:4" x14ac:dyDescent="0.25">
      <c r="D64" t="s">
        <v>431</v>
      </c>
    </row>
    <row r="65" spans="1:4" x14ac:dyDescent="0.25">
      <c r="D65" t="s">
        <v>383</v>
      </c>
    </row>
    <row r="66" spans="1:4" x14ac:dyDescent="0.25">
      <c r="D66" t="s">
        <v>384</v>
      </c>
    </row>
    <row r="67" spans="1:4" x14ac:dyDescent="0.25">
      <c r="D67" t="s">
        <v>481</v>
      </c>
    </row>
    <row r="68" spans="1:4" x14ac:dyDescent="0.25">
      <c r="D68" t="s">
        <v>350</v>
      </c>
    </row>
    <row r="69" spans="1:4" x14ac:dyDescent="0.25">
      <c r="D69" t="s">
        <v>418</v>
      </c>
    </row>
    <row r="70" spans="1:4" x14ac:dyDescent="0.25">
      <c r="D70" t="s">
        <v>419</v>
      </c>
    </row>
    <row r="71" spans="1:4" x14ac:dyDescent="0.25">
      <c r="D71" t="s">
        <v>434</v>
      </c>
    </row>
    <row r="72" spans="1:4" x14ac:dyDescent="0.25">
      <c r="D72" t="s">
        <v>651</v>
      </c>
    </row>
    <row r="73" spans="1:4" x14ac:dyDescent="0.25">
      <c r="C73" t="s">
        <v>334</v>
      </c>
      <c r="D73" t="s">
        <v>402</v>
      </c>
    </row>
    <row r="74" spans="1:4" x14ac:dyDescent="0.25">
      <c r="D74" t="s">
        <v>404</v>
      </c>
    </row>
    <row r="75" spans="1:4" x14ac:dyDescent="0.25">
      <c r="D75" t="s">
        <v>428</v>
      </c>
    </row>
    <row r="76" spans="1:4" x14ac:dyDescent="0.25">
      <c r="C76" t="s">
        <v>498</v>
      </c>
      <c r="D76" t="s">
        <v>402</v>
      </c>
    </row>
    <row r="77" spans="1:4" x14ac:dyDescent="0.25">
      <c r="D77" t="s">
        <v>404</v>
      </c>
    </row>
    <row r="78" spans="1:4" x14ac:dyDescent="0.25">
      <c r="D78" t="s">
        <v>428</v>
      </c>
    </row>
    <row r="79" spans="1:4" x14ac:dyDescent="0.25">
      <c r="A79" t="s">
        <v>41</v>
      </c>
      <c r="B79" t="s">
        <v>208</v>
      </c>
      <c r="C79" t="s">
        <v>336</v>
      </c>
      <c r="D79" t="s">
        <v>263</v>
      </c>
    </row>
    <row r="80" spans="1:4" x14ac:dyDescent="0.25">
      <c r="C80" t="s">
        <v>156</v>
      </c>
      <c r="D80" t="s">
        <v>260</v>
      </c>
    </row>
    <row r="81" spans="2:4" x14ac:dyDescent="0.25">
      <c r="D81" t="s">
        <v>264</v>
      </c>
    </row>
    <row r="82" spans="2:4" x14ac:dyDescent="0.25">
      <c r="D82" t="s">
        <v>266</v>
      </c>
    </row>
    <row r="83" spans="2:4" x14ac:dyDescent="0.25">
      <c r="C83" t="s">
        <v>340</v>
      </c>
      <c r="D83" t="s">
        <v>263</v>
      </c>
    </row>
    <row r="84" spans="2:4" x14ac:dyDescent="0.25">
      <c r="D84" t="s">
        <v>267</v>
      </c>
    </row>
    <row r="85" spans="2:4" x14ac:dyDescent="0.25">
      <c r="D85" t="s">
        <v>268</v>
      </c>
    </row>
    <row r="86" spans="2:4" x14ac:dyDescent="0.25">
      <c r="C86" t="s">
        <v>322</v>
      </c>
      <c r="D86" t="s">
        <v>260</v>
      </c>
    </row>
    <row r="87" spans="2:4" x14ac:dyDescent="0.25">
      <c r="B87" t="s">
        <v>206</v>
      </c>
      <c r="C87" t="s">
        <v>7</v>
      </c>
      <c r="D87" t="s">
        <v>23</v>
      </c>
    </row>
    <row r="88" spans="2:4" x14ac:dyDescent="0.25">
      <c r="D88" t="s">
        <v>669</v>
      </c>
    </row>
    <row r="89" spans="2:4" x14ac:dyDescent="0.25">
      <c r="C89" t="s">
        <v>3</v>
      </c>
      <c r="D89" t="s">
        <v>668</v>
      </c>
    </row>
    <row r="90" spans="2:4" x14ac:dyDescent="0.25">
      <c r="C90" t="s">
        <v>156</v>
      </c>
      <c r="D90" t="s">
        <v>670</v>
      </c>
    </row>
    <row r="91" spans="2:4" x14ac:dyDescent="0.25">
      <c r="C91" t="s">
        <v>191</v>
      </c>
      <c r="D91" t="s">
        <v>23</v>
      </c>
    </row>
    <row r="92" spans="2:4" x14ac:dyDescent="0.25">
      <c r="C92" t="s">
        <v>678</v>
      </c>
      <c r="D92" t="s">
        <v>24</v>
      </c>
    </row>
    <row r="93" spans="2:4" x14ac:dyDescent="0.25">
      <c r="B93" t="s">
        <v>211</v>
      </c>
      <c r="C93" t="s">
        <v>344</v>
      </c>
      <c r="D93" t="s">
        <v>373</v>
      </c>
    </row>
    <row r="94" spans="2:4" x14ac:dyDescent="0.25">
      <c r="D94" t="s">
        <v>374</v>
      </c>
    </row>
    <row r="95" spans="2:4" x14ac:dyDescent="0.25">
      <c r="D95" t="s">
        <v>360</v>
      </c>
    </row>
    <row r="96" spans="2:4" x14ac:dyDescent="0.25">
      <c r="C96" t="s">
        <v>458</v>
      </c>
      <c r="D96" t="s">
        <v>377</v>
      </c>
    </row>
    <row r="97" spans="3:4" x14ac:dyDescent="0.25">
      <c r="D97" t="s">
        <v>381</v>
      </c>
    </row>
    <row r="98" spans="3:4" x14ac:dyDescent="0.25">
      <c r="D98" t="s">
        <v>447</v>
      </c>
    </row>
    <row r="99" spans="3:4" x14ac:dyDescent="0.25">
      <c r="C99" t="s">
        <v>456</v>
      </c>
      <c r="D99" t="s">
        <v>375</v>
      </c>
    </row>
    <row r="100" spans="3:4" x14ac:dyDescent="0.25">
      <c r="C100" t="s">
        <v>7</v>
      </c>
      <c r="D100" t="s">
        <v>401</v>
      </c>
    </row>
    <row r="101" spans="3:4" x14ac:dyDescent="0.25">
      <c r="C101" t="s">
        <v>477</v>
      </c>
      <c r="D101" t="s">
        <v>479</v>
      </c>
    </row>
    <row r="102" spans="3:4" x14ac:dyDescent="0.25">
      <c r="D102" t="s">
        <v>404</v>
      </c>
    </row>
    <row r="103" spans="3:4" x14ac:dyDescent="0.25">
      <c r="C103" t="s">
        <v>460</v>
      </c>
      <c r="D103" t="s">
        <v>368</v>
      </c>
    </row>
    <row r="104" spans="3:4" x14ac:dyDescent="0.25">
      <c r="C104" t="s">
        <v>475</v>
      </c>
      <c r="D104" t="s">
        <v>381</v>
      </c>
    </row>
    <row r="105" spans="3:4" x14ac:dyDescent="0.25">
      <c r="C105" t="s">
        <v>526</v>
      </c>
      <c r="D105" t="s">
        <v>363</v>
      </c>
    </row>
    <row r="106" spans="3:4" x14ac:dyDescent="0.25">
      <c r="C106" t="s">
        <v>500</v>
      </c>
      <c r="D106" t="s">
        <v>403</v>
      </c>
    </row>
    <row r="107" spans="3:4" x14ac:dyDescent="0.25">
      <c r="C107" t="s">
        <v>491</v>
      </c>
      <c r="D107" t="s">
        <v>482</v>
      </c>
    </row>
    <row r="108" spans="3:4" x14ac:dyDescent="0.25">
      <c r="C108" t="s">
        <v>519</v>
      </c>
      <c r="D108" t="s">
        <v>428</v>
      </c>
    </row>
    <row r="109" spans="3:4" x14ac:dyDescent="0.25">
      <c r="C109" t="s">
        <v>452</v>
      </c>
      <c r="D109" t="s">
        <v>375</v>
      </c>
    </row>
    <row r="110" spans="3:4" x14ac:dyDescent="0.25">
      <c r="D110" t="s">
        <v>480</v>
      </c>
    </row>
    <row r="111" spans="3:4" x14ac:dyDescent="0.25">
      <c r="D111" t="s">
        <v>404</v>
      </c>
    </row>
    <row r="112" spans="3:4" x14ac:dyDescent="0.25">
      <c r="C112" t="s">
        <v>473</v>
      </c>
      <c r="D112" t="s">
        <v>381</v>
      </c>
    </row>
    <row r="113" spans="3:4" x14ac:dyDescent="0.25">
      <c r="D113" t="s">
        <v>382</v>
      </c>
    </row>
    <row r="114" spans="3:4" x14ac:dyDescent="0.25">
      <c r="D114" t="s">
        <v>385</v>
      </c>
    </row>
    <row r="115" spans="3:4" x14ac:dyDescent="0.25">
      <c r="C115" t="s">
        <v>454</v>
      </c>
      <c r="D115" t="s">
        <v>375</v>
      </c>
    </row>
    <row r="116" spans="3:4" x14ac:dyDescent="0.25">
      <c r="D116" t="s">
        <v>480</v>
      </c>
    </row>
    <row r="117" spans="3:4" x14ac:dyDescent="0.25">
      <c r="C117" t="s">
        <v>484</v>
      </c>
      <c r="D117" t="s">
        <v>480</v>
      </c>
    </row>
    <row r="118" spans="3:4" x14ac:dyDescent="0.25">
      <c r="C118" t="s">
        <v>503</v>
      </c>
      <c r="D118" t="s">
        <v>404</v>
      </c>
    </row>
    <row r="119" spans="3:4" x14ac:dyDescent="0.25">
      <c r="C119" t="s">
        <v>464</v>
      </c>
      <c r="D119" t="s">
        <v>369</v>
      </c>
    </row>
    <row r="120" spans="3:4" x14ac:dyDescent="0.25">
      <c r="C120" t="s">
        <v>448</v>
      </c>
      <c r="D120" t="s">
        <v>373</v>
      </c>
    </row>
    <row r="121" spans="3:4" x14ac:dyDescent="0.25">
      <c r="D121" t="s">
        <v>361</v>
      </c>
    </row>
    <row r="122" spans="3:4" x14ac:dyDescent="0.25">
      <c r="C122" t="s">
        <v>450</v>
      </c>
      <c r="D122" t="s">
        <v>374</v>
      </c>
    </row>
    <row r="123" spans="3:4" x14ac:dyDescent="0.25">
      <c r="C123" t="s">
        <v>566</v>
      </c>
      <c r="D123" t="s">
        <v>368</v>
      </c>
    </row>
    <row r="124" spans="3:4" x14ac:dyDescent="0.25">
      <c r="D124" t="s">
        <v>369</v>
      </c>
    </row>
    <row r="125" spans="3:4" x14ac:dyDescent="0.25">
      <c r="D125" t="s">
        <v>373</v>
      </c>
    </row>
    <row r="126" spans="3:4" x14ac:dyDescent="0.25">
      <c r="D126" t="s">
        <v>374</v>
      </c>
    </row>
    <row r="127" spans="3:4" x14ac:dyDescent="0.25">
      <c r="D127" t="s">
        <v>375</v>
      </c>
    </row>
    <row r="128" spans="3:4" x14ac:dyDescent="0.25">
      <c r="D128" t="s">
        <v>482</v>
      </c>
    </row>
    <row r="129" spans="1:4" x14ac:dyDescent="0.25">
      <c r="D129" t="s">
        <v>379</v>
      </c>
    </row>
    <row r="130" spans="1:4" x14ac:dyDescent="0.25">
      <c r="C130" t="s">
        <v>568</v>
      </c>
      <c r="D130" t="s">
        <v>373</v>
      </c>
    </row>
    <row r="131" spans="1:4" x14ac:dyDescent="0.25">
      <c r="D131" t="s">
        <v>375</v>
      </c>
    </row>
    <row r="132" spans="1:4" x14ac:dyDescent="0.25">
      <c r="C132" t="s">
        <v>570</v>
      </c>
      <c r="D132" t="s">
        <v>381</v>
      </c>
    </row>
    <row r="133" spans="1:4" x14ac:dyDescent="0.25">
      <c r="C133" t="s">
        <v>590</v>
      </c>
      <c r="D133" t="s">
        <v>363</v>
      </c>
    </row>
    <row r="134" spans="1:4" x14ac:dyDescent="0.25">
      <c r="D134" t="s">
        <v>479</v>
      </c>
    </row>
    <row r="135" spans="1:4" x14ac:dyDescent="0.25">
      <c r="C135" t="s">
        <v>637</v>
      </c>
      <c r="D135" t="s">
        <v>385</v>
      </c>
    </row>
    <row r="136" spans="1:4" x14ac:dyDescent="0.25">
      <c r="C136" t="s">
        <v>653</v>
      </c>
      <c r="D136" t="s">
        <v>404</v>
      </c>
    </row>
    <row r="137" spans="1:4" x14ac:dyDescent="0.25">
      <c r="C137" t="s">
        <v>655</v>
      </c>
      <c r="D137" t="s">
        <v>402</v>
      </c>
    </row>
    <row r="138" spans="1:4" x14ac:dyDescent="0.25">
      <c r="C138" t="s">
        <v>657</v>
      </c>
      <c r="D138" t="s">
        <v>375</v>
      </c>
    </row>
    <row r="139" spans="1:4" x14ac:dyDescent="0.25">
      <c r="D139" t="s">
        <v>480</v>
      </c>
    </row>
    <row r="140" spans="1:4" x14ac:dyDescent="0.25">
      <c r="D140" t="s">
        <v>482</v>
      </c>
    </row>
    <row r="141" spans="1:4" x14ac:dyDescent="0.25">
      <c r="A141" t="s">
        <v>42</v>
      </c>
      <c r="B141" t="s">
        <v>208</v>
      </c>
      <c r="C141" t="s">
        <v>108</v>
      </c>
      <c r="D141" t="s">
        <v>247</v>
      </c>
    </row>
    <row r="142" spans="1:4" x14ac:dyDescent="0.25">
      <c r="D142" t="s">
        <v>253</v>
      </c>
    </row>
    <row r="143" spans="1:4" x14ac:dyDescent="0.25">
      <c r="D143" t="s">
        <v>254</v>
      </c>
    </row>
    <row r="144" spans="1:4" x14ac:dyDescent="0.25">
      <c r="C144" t="s">
        <v>286</v>
      </c>
      <c r="D144" t="s">
        <v>243</v>
      </c>
    </row>
    <row r="145" spans="3:4" x14ac:dyDescent="0.25">
      <c r="D145" t="s">
        <v>260</v>
      </c>
    </row>
    <row r="146" spans="3:4" x14ac:dyDescent="0.25">
      <c r="C146" t="s">
        <v>547</v>
      </c>
      <c r="D146" t="s">
        <v>238</v>
      </c>
    </row>
    <row r="147" spans="3:4" x14ac:dyDescent="0.25">
      <c r="C147" t="s">
        <v>549</v>
      </c>
      <c r="D147" t="s">
        <v>243</v>
      </c>
    </row>
    <row r="148" spans="3:4" x14ac:dyDescent="0.25">
      <c r="C148" t="s">
        <v>555</v>
      </c>
      <c r="D148" t="s">
        <v>243</v>
      </c>
    </row>
    <row r="149" spans="3:4" x14ac:dyDescent="0.25">
      <c r="C149" t="s">
        <v>125</v>
      </c>
      <c r="D149" t="s">
        <v>234</v>
      </c>
    </row>
    <row r="150" spans="3:4" x14ac:dyDescent="0.25">
      <c r="C150" t="s">
        <v>524</v>
      </c>
      <c r="D150" t="s">
        <v>244</v>
      </c>
    </row>
    <row r="151" spans="3:4" x14ac:dyDescent="0.25">
      <c r="C151" t="s">
        <v>296</v>
      </c>
      <c r="D151" t="s">
        <v>244</v>
      </c>
    </row>
    <row r="152" spans="3:4" x14ac:dyDescent="0.25">
      <c r="D152" t="s">
        <v>256</v>
      </c>
    </row>
    <row r="153" spans="3:4" x14ac:dyDescent="0.25">
      <c r="C153" t="s">
        <v>536</v>
      </c>
      <c r="D153" t="s">
        <v>238</v>
      </c>
    </row>
    <row r="154" spans="3:4" x14ac:dyDescent="0.25">
      <c r="C154" t="s">
        <v>300</v>
      </c>
      <c r="D154" t="s">
        <v>247</v>
      </c>
    </row>
    <row r="155" spans="3:4" x14ac:dyDescent="0.25">
      <c r="D155" t="s">
        <v>248</v>
      </c>
    </row>
    <row r="156" spans="3:4" x14ac:dyDescent="0.25">
      <c r="C156" t="s">
        <v>545</v>
      </c>
      <c r="D156" t="s">
        <v>239</v>
      </c>
    </row>
    <row r="157" spans="3:4" x14ac:dyDescent="0.25">
      <c r="D157" t="s">
        <v>250</v>
      </c>
    </row>
    <row r="158" spans="3:4" x14ac:dyDescent="0.25">
      <c r="C158" t="s">
        <v>282</v>
      </c>
      <c r="D158" t="s">
        <v>241</v>
      </c>
    </row>
    <row r="159" spans="3:4" x14ac:dyDescent="0.25">
      <c r="C159" t="s">
        <v>276</v>
      </c>
      <c r="D159" t="s">
        <v>239</v>
      </c>
    </row>
    <row r="160" spans="3:4" x14ac:dyDescent="0.25">
      <c r="D160" t="s">
        <v>243</v>
      </c>
    </row>
    <row r="161" spans="2:4" x14ac:dyDescent="0.25">
      <c r="C161" t="s">
        <v>290</v>
      </c>
      <c r="D161" t="s">
        <v>243</v>
      </c>
    </row>
    <row r="162" spans="2:4" x14ac:dyDescent="0.25">
      <c r="C162" t="s">
        <v>294</v>
      </c>
      <c r="D162" t="s">
        <v>244</v>
      </c>
    </row>
    <row r="163" spans="2:4" x14ac:dyDescent="0.25">
      <c r="C163" t="s">
        <v>288</v>
      </c>
      <c r="D163" t="s">
        <v>243</v>
      </c>
    </row>
    <row r="164" spans="2:4" x14ac:dyDescent="0.25">
      <c r="C164" t="s">
        <v>677</v>
      </c>
      <c r="D164" t="s">
        <v>243</v>
      </c>
    </row>
    <row r="165" spans="2:4" x14ac:dyDescent="0.25">
      <c r="B165" t="s">
        <v>206</v>
      </c>
      <c r="C165" t="s">
        <v>108</v>
      </c>
      <c r="D165" t="s">
        <v>32</v>
      </c>
    </row>
    <row r="166" spans="2:4" x14ac:dyDescent="0.25">
      <c r="C166" t="s">
        <v>110</v>
      </c>
      <c r="D166" t="s">
        <v>33</v>
      </c>
    </row>
    <row r="167" spans="2:4" x14ac:dyDescent="0.25">
      <c r="C167" t="s">
        <v>125</v>
      </c>
      <c r="D167" t="s">
        <v>33</v>
      </c>
    </row>
    <row r="168" spans="2:4" x14ac:dyDescent="0.25">
      <c r="C168" t="s">
        <v>63</v>
      </c>
      <c r="D168" t="s">
        <v>24</v>
      </c>
    </row>
    <row r="169" spans="2:4" x14ac:dyDescent="0.25">
      <c r="C169" t="s">
        <v>1</v>
      </c>
      <c r="D169" t="s">
        <v>33</v>
      </c>
    </row>
    <row r="170" spans="2:4" x14ac:dyDescent="0.25">
      <c r="C170" t="s">
        <v>187</v>
      </c>
      <c r="D170" t="s">
        <v>31</v>
      </c>
    </row>
    <row r="171" spans="2:4" x14ac:dyDescent="0.25">
      <c r="B171" t="s">
        <v>211</v>
      </c>
      <c r="C171" t="s">
        <v>110</v>
      </c>
      <c r="D171" t="s">
        <v>480</v>
      </c>
    </row>
    <row r="172" spans="2:4" x14ac:dyDescent="0.25">
      <c r="D172" t="s">
        <v>396</v>
      </c>
    </row>
    <row r="173" spans="2:4" x14ac:dyDescent="0.25">
      <c r="D173" t="s">
        <v>413</v>
      </c>
    </row>
    <row r="174" spans="2:4" x14ac:dyDescent="0.25">
      <c r="D174" t="s">
        <v>416</v>
      </c>
    </row>
    <row r="175" spans="2:4" x14ac:dyDescent="0.25">
      <c r="C175" t="s">
        <v>538</v>
      </c>
      <c r="D175" t="s">
        <v>445</v>
      </c>
    </row>
    <row r="176" spans="2:4" x14ac:dyDescent="0.25">
      <c r="C176" t="s">
        <v>125</v>
      </c>
      <c r="D176" t="s">
        <v>487</v>
      </c>
    </row>
    <row r="177" spans="3:4" x14ac:dyDescent="0.25">
      <c r="D177" t="s">
        <v>406</v>
      </c>
    </row>
    <row r="178" spans="3:4" x14ac:dyDescent="0.25">
      <c r="D178" t="s">
        <v>540</v>
      </c>
    </row>
    <row r="179" spans="3:4" x14ac:dyDescent="0.25">
      <c r="D179" t="s">
        <v>408</v>
      </c>
    </row>
    <row r="180" spans="3:4" x14ac:dyDescent="0.25">
      <c r="C180" t="s">
        <v>524</v>
      </c>
      <c r="D180" t="s">
        <v>353</v>
      </c>
    </row>
    <row r="181" spans="3:4" x14ac:dyDescent="0.25">
      <c r="D181" t="s">
        <v>398</v>
      </c>
    </row>
    <row r="182" spans="3:4" x14ac:dyDescent="0.25">
      <c r="D182" t="s">
        <v>444</v>
      </c>
    </row>
    <row r="183" spans="3:4" x14ac:dyDescent="0.25">
      <c r="C183" t="s">
        <v>63</v>
      </c>
      <c r="D183" t="s">
        <v>399</v>
      </c>
    </row>
    <row r="184" spans="3:4" x14ac:dyDescent="0.25">
      <c r="D184" t="s">
        <v>408</v>
      </c>
    </row>
    <row r="185" spans="3:4" x14ac:dyDescent="0.25">
      <c r="D185" t="s">
        <v>409</v>
      </c>
    </row>
    <row r="186" spans="3:4" x14ac:dyDescent="0.25">
      <c r="C186" t="s">
        <v>296</v>
      </c>
      <c r="D186" t="s">
        <v>413</v>
      </c>
    </row>
    <row r="187" spans="3:4" x14ac:dyDescent="0.25">
      <c r="D187" t="s">
        <v>417</v>
      </c>
    </row>
    <row r="188" spans="3:4" x14ac:dyDescent="0.25">
      <c r="D188" t="s">
        <v>429</v>
      </c>
    </row>
    <row r="189" spans="3:4" x14ac:dyDescent="0.25">
      <c r="D189" t="s">
        <v>444</v>
      </c>
    </row>
    <row r="190" spans="3:4" x14ac:dyDescent="0.25">
      <c r="D190" t="s">
        <v>446</v>
      </c>
    </row>
    <row r="191" spans="3:4" x14ac:dyDescent="0.25">
      <c r="C191" t="s">
        <v>536</v>
      </c>
      <c r="D191" t="s">
        <v>401</v>
      </c>
    </row>
    <row r="192" spans="3:4" x14ac:dyDescent="0.25">
      <c r="D192" t="s">
        <v>446</v>
      </c>
    </row>
    <row r="193" spans="3:4" x14ac:dyDescent="0.25">
      <c r="C193" t="s">
        <v>502</v>
      </c>
      <c r="D193" t="s">
        <v>403</v>
      </c>
    </row>
    <row r="194" spans="3:4" x14ac:dyDescent="0.25">
      <c r="D194" t="s">
        <v>441</v>
      </c>
    </row>
    <row r="195" spans="3:4" x14ac:dyDescent="0.25">
      <c r="C195" t="s">
        <v>543</v>
      </c>
      <c r="D195" t="s">
        <v>446</v>
      </c>
    </row>
    <row r="196" spans="3:4" x14ac:dyDescent="0.25">
      <c r="C196" t="s">
        <v>1</v>
      </c>
      <c r="D196" t="s">
        <v>404</v>
      </c>
    </row>
    <row r="197" spans="3:4" x14ac:dyDescent="0.25">
      <c r="D197" t="s">
        <v>442</v>
      </c>
    </row>
    <row r="198" spans="3:4" x14ac:dyDescent="0.25">
      <c r="D198" t="s">
        <v>414</v>
      </c>
    </row>
    <row r="199" spans="3:4" x14ac:dyDescent="0.25">
      <c r="C199" t="s">
        <v>545</v>
      </c>
      <c r="D199" t="s">
        <v>446</v>
      </c>
    </row>
    <row r="200" spans="3:4" x14ac:dyDescent="0.25">
      <c r="C200" t="s">
        <v>276</v>
      </c>
      <c r="D200" t="s">
        <v>406</v>
      </c>
    </row>
    <row r="201" spans="3:4" x14ac:dyDescent="0.25">
      <c r="D201" t="s">
        <v>444</v>
      </c>
    </row>
    <row r="202" spans="3:4" x14ac:dyDescent="0.25">
      <c r="D202" t="s">
        <v>397</v>
      </c>
    </row>
    <row r="203" spans="3:4" x14ac:dyDescent="0.25">
      <c r="C203" t="s">
        <v>294</v>
      </c>
      <c r="D203" t="s">
        <v>353</v>
      </c>
    </row>
    <row r="204" spans="3:4" x14ac:dyDescent="0.25">
      <c r="D204" t="s">
        <v>398</v>
      </c>
    </row>
    <row r="205" spans="3:4" x14ac:dyDescent="0.25">
      <c r="D205" t="s">
        <v>446</v>
      </c>
    </row>
    <row r="206" spans="3:4" x14ac:dyDescent="0.25">
      <c r="C206" t="s">
        <v>541</v>
      </c>
      <c r="D206" t="s">
        <v>413</v>
      </c>
    </row>
    <row r="207" spans="3:4" x14ac:dyDescent="0.25">
      <c r="D207" t="s">
        <v>417</v>
      </c>
    </row>
    <row r="208" spans="3:4" x14ac:dyDescent="0.25">
      <c r="D208" t="s">
        <v>429</v>
      </c>
    </row>
    <row r="209" spans="1:4" x14ac:dyDescent="0.25">
      <c r="D209" t="s">
        <v>444</v>
      </c>
    </row>
    <row r="210" spans="1:4" x14ac:dyDescent="0.25">
      <c r="D210" t="s">
        <v>399</v>
      </c>
    </row>
    <row r="211" spans="1:4" x14ac:dyDescent="0.25">
      <c r="D211" t="s">
        <v>607</v>
      </c>
    </row>
    <row r="212" spans="1:4" x14ac:dyDescent="0.25">
      <c r="C212" t="s">
        <v>187</v>
      </c>
      <c r="D212" t="s">
        <v>396</v>
      </c>
    </row>
    <row r="213" spans="1:4" x14ac:dyDescent="0.25">
      <c r="C213" t="s">
        <v>635</v>
      </c>
      <c r="D213" t="s">
        <v>396</v>
      </c>
    </row>
    <row r="214" spans="1:4" x14ac:dyDescent="0.25">
      <c r="D214" t="s">
        <v>446</v>
      </c>
    </row>
    <row r="215" spans="1:4" x14ac:dyDescent="0.25">
      <c r="C215" t="s">
        <v>633</v>
      </c>
      <c r="D215" t="s">
        <v>396</v>
      </c>
    </row>
    <row r="216" spans="1:4" x14ac:dyDescent="0.25">
      <c r="C216" t="s">
        <v>647</v>
      </c>
      <c r="D216" t="s">
        <v>440</v>
      </c>
    </row>
    <row r="217" spans="1:4" x14ac:dyDescent="0.25">
      <c r="C217" t="s">
        <v>659</v>
      </c>
      <c r="D217" t="s">
        <v>444</v>
      </c>
    </row>
    <row r="218" spans="1:4" x14ac:dyDescent="0.25">
      <c r="A218" t="s">
        <v>43</v>
      </c>
      <c r="B218" t="s">
        <v>208</v>
      </c>
      <c r="C218" t="s">
        <v>104</v>
      </c>
      <c r="D218" t="s">
        <v>268</v>
      </c>
    </row>
    <row r="219" spans="1:4" x14ac:dyDescent="0.25">
      <c r="C219" t="s">
        <v>331</v>
      </c>
      <c r="D219" t="s">
        <v>263</v>
      </c>
    </row>
    <row r="220" spans="1:4" x14ac:dyDescent="0.25">
      <c r="D220" t="s">
        <v>265</v>
      </c>
    </row>
    <row r="221" spans="1:4" x14ac:dyDescent="0.25">
      <c r="C221" t="s">
        <v>271</v>
      </c>
      <c r="D221" t="s">
        <v>237</v>
      </c>
    </row>
    <row r="222" spans="1:4" x14ac:dyDescent="0.25">
      <c r="D222" t="s">
        <v>239</v>
      </c>
    </row>
    <row r="223" spans="1:4" x14ac:dyDescent="0.25">
      <c r="D223" t="s">
        <v>264</v>
      </c>
    </row>
    <row r="224" spans="1:4" x14ac:dyDescent="0.25">
      <c r="D224" t="s">
        <v>266</v>
      </c>
    </row>
    <row r="225" spans="2:4" x14ac:dyDescent="0.25">
      <c r="C225" t="s">
        <v>62</v>
      </c>
      <c r="D225" t="s">
        <v>263</v>
      </c>
    </row>
    <row r="226" spans="2:4" x14ac:dyDescent="0.25">
      <c r="D226" t="s">
        <v>265</v>
      </c>
    </row>
    <row r="227" spans="2:4" x14ac:dyDescent="0.25">
      <c r="C227" t="s">
        <v>316</v>
      </c>
      <c r="D227" t="s">
        <v>258</v>
      </c>
    </row>
    <row r="228" spans="2:4" x14ac:dyDescent="0.25">
      <c r="C228" t="s">
        <v>342</v>
      </c>
      <c r="D228" t="s">
        <v>267</v>
      </c>
    </row>
    <row r="229" spans="2:4" x14ac:dyDescent="0.25">
      <c r="D229" t="s">
        <v>268</v>
      </c>
    </row>
    <row r="230" spans="2:4" x14ac:dyDescent="0.25">
      <c r="C230" t="s">
        <v>324</v>
      </c>
      <c r="D230" t="s">
        <v>259</v>
      </c>
    </row>
    <row r="231" spans="2:4" x14ac:dyDescent="0.25">
      <c r="C231" t="s">
        <v>167</v>
      </c>
      <c r="D231" t="s">
        <v>267</v>
      </c>
    </row>
    <row r="232" spans="2:4" x14ac:dyDescent="0.25">
      <c r="D232" t="s">
        <v>268</v>
      </c>
    </row>
    <row r="233" spans="2:4" x14ac:dyDescent="0.25">
      <c r="C233" t="s">
        <v>185</v>
      </c>
      <c r="D233" t="s">
        <v>268</v>
      </c>
    </row>
    <row r="234" spans="2:4" x14ac:dyDescent="0.25">
      <c r="B234" t="s">
        <v>207</v>
      </c>
      <c r="C234" t="s">
        <v>4</v>
      </c>
      <c r="D234" t="s">
        <v>228</v>
      </c>
    </row>
    <row r="235" spans="2:4" x14ac:dyDescent="0.25">
      <c r="B235" t="s">
        <v>206</v>
      </c>
      <c r="C235" t="s">
        <v>80</v>
      </c>
      <c r="D235" t="s">
        <v>31</v>
      </c>
    </row>
    <row r="236" spans="2:4" x14ac:dyDescent="0.25">
      <c r="C236" t="s">
        <v>81</v>
      </c>
      <c r="D236" t="s">
        <v>31</v>
      </c>
    </row>
    <row r="237" spans="2:4" x14ac:dyDescent="0.25">
      <c r="C237" t="s">
        <v>104</v>
      </c>
      <c r="D237" t="s">
        <v>34</v>
      </c>
    </row>
    <row r="238" spans="2:4" x14ac:dyDescent="0.25">
      <c r="C238" t="s">
        <v>57</v>
      </c>
      <c r="D238" t="s">
        <v>670</v>
      </c>
    </row>
    <row r="239" spans="2:4" x14ac:dyDescent="0.25">
      <c r="C239" t="s">
        <v>106</v>
      </c>
      <c r="D239" t="s">
        <v>24</v>
      </c>
    </row>
    <row r="240" spans="2:4" x14ac:dyDescent="0.25">
      <c r="D240" t="s">
        <v>34</v>
      </c>
    </row>
    <row r="241" spans="3:4" x14ac:dyDescent="0.25">
      <c r="D241" t="s">
        <v>670</v>
      </c>
    </row>
    <row r="242" spans="3:4" x14ac:dyDescent="0.25">
      <c r="C242" t="s">
        <v>78</v>
      </c>
      <c r="D242" t="s">
        <v>34</v>
      </c>
    </row>
    <row r="243" spans="3:4" x14ac:dyDescent="0.25">
      <c r="C243" t="s">
        <v>83</v>
      </c>
      <c r="D243" t="s">
        <v>31</v>
      </c>
    </row>
    <row r="244" spans="3:4" x14ac:dyDescent="0.25">
      <c r="D244" t="s">
        <v>34</v>
      </c>
    </row>
    <row r="245" spans="3:4" x14ac:dyDescent="0.25">
      <c r="C245" t="s">
        <v>111</v>
      </c>
      <c r="D245" t="s">
        <v>24</v>
      </c>
    </row>
    <row r="246" spans="3:4" x14ac:dyDescent="0.25">
      <c r="C246" t="s">
        <v>84</v>
      </c>
      <c r="D246" t="s">
        <v>670</v>
      </c>
    </row>
    <row r="247" spans="3:4" x14ac:dyDescent="0.25">
      <c r="C247" t="s">
        <v>112</v>
      </c>
      <c r="D247" t="s">
        <v>58</v>
      </c>
    </row>
    <row r="248" spans="3:4" x14ac:dyDescent="0.25">
      <c r="D248" t="s">
        <v>34</v>
      </c>
    </row>
    <row r="249" spans="3:4" x14ac:dyDescent="0.25">
      <c r="C249" t="s">
        <v>114</v>
      </c>
      <c r="D249" t="s">
        <v>670</v>
      </c>
    </row>
    <row r="250" spans="3:4" x14ac:dyDescent="0.25">
      <c r="C250" t="s">
        <v>165</v>
      </c>
      <c r="D250" t="s">
        <v>668</v>
      </c>
    </row>
    <row r="251" spans="3:4" x14ac:dyDescent="0.25">
      <c r="C251" t="s">
        <v>121</v>
      </c>
      <c r="D251" t="s">
        <v>58</v>
      </c>
    </row>
    <row r="252" spans="3:4" x14ac:dyDescent="0.25">
      <c r="D252" t="s">
        <v>24</v>
      </c>
    </row>
    <row r="253" spans="3:4" x14ac:dyDescent="0.25">
      <c r="D253" t="s">
        <v>34</v>
      </c>
    </row>
    <row r="254" spans="3:4" x14ac:dyDescent="0.25">
      <c r="D254" t="s">
        <v>670</v>
      </c>
    </row>
    <row r="255" spans="3:4" x14ac:dyDescent="0.25">
      <c r="C255" t="s">
        <v>62</v>
      </c>
      <c r="D255" t="s">
        <v>24</v>
      </c>
    </row>
    <row r="256" spans="3:4" x14ac:dyDescent="0.25">
      <c r="D256" t="s">
        <v>670</v>
      </c>
    </row>
    <row r="257" spans="3:4" x14ac:dyDescent="0.25">
      <c r="C257" t="s">
        <v>127</v>
      </c>
      <c r="D257" t="s">
        <v>24</v>
      </c>
    </row>
    <row r="258" spans="3:4" x14ac:dyDescent="0.25">
      <c r="C258" t="s">
        <v>129</v>
      </c>
      <c r="D258" t="s">
        <v>33</v>
      </c>
    </row>
    <row r="259" spans="3:4" x14ac:dyDescent="0.25">
      <c r="C259" t="s">
        <v>132</v>
      </c>
      <c r="D259" t="s">
        <v>34</v>
      </c>
    </row>
    <row r="260" spans="3:4" x14ac:dyDescent="0.25">
      <c r="C260" t="s">
        <v>135</v>
      </c>
      <c r="D260" t="s">
        <v>34</v>
      </c>
    </row>
    <row r="261" spans="3:4" x14ac:dyDescent="0.25">
      <c r="C261" t="s">
        <v>90</v>
      </c>
      <c r="D261" t="s">
        <v>34</v>
      </c>
    </row>
    <row r="262" spans="3:4" x14ac:dyDescent="0.25">
      <c r="C262" t="s">
        <v>102</v>
      </c>
      <c r="D262" t="s">
        <v>670</v>
      </c>
    </row>
    <row r="263" spans="3:4" x14ac:dyDescent="0.25">
      <c r="C263" t="s">
        <v>56</v>
      </c>
      <c r="D263" t="s">
        <v>24</v>
      </c>
    </row>
    <row r="264" spans="3:4" x14ac:dyDescent="0.25">
      <c r="D264" t="s">
        <v>34</v>
      </c>
    </row>
    <row r="265" spans="3:4" x14ac:dyDescent="0.25">
      <c r="C265" t="s">
        <v>137</v>
      </c>
      <c r="D265" t="s">
        <v>34</v>
      </c>
    </row>
    <row r="266" spans="3:4" x14ac:dyDescent="0.25">
      <c r="C266" t="s">
        <v>139</v>
      </c>
      <c r="D266" t="s">
        <v>24</v>
      </c>
    </row>
    <row r="267" spans="3:4" x14ac:dyDescent="0.25">
      <c r="C267" t="s">
        <v>140</v>
      </c>
      <c r="D267" t="s">
        <v>24</v>
      </c>
    </row>
    <row r="268" spans="3:4" x14ac:dyDescent="0.25">
      <c r="C268" t="s">
        <v>141</v>
      </c>
      <c r="D268" t="s">
        <v>58</v>
      </c>
    </row>
    <row r="269" spans="3:4" x14ac:dyDescent="0.25">
      <c r="D269" t="s">
        <v>24</v>
      </c>
    </row>
    <row r="270" spans="3:4" x14ac:dyDescent="0.25">
      <c r="D270" t="s">
        <v>34</v>
      </c>
    </row>
    <row r="271" spans="3:4" x14ac:dyDescent="0.25">
      <c r="D271" t="s">
        <v>669</v>
      </c>
    </row>
    <row r="272" spans="3:4" x14ac:dyDescent="0.25">
      <c r="C272" t="s">
        <v>144</v>
      </c>
      <c r="D272" t="s">
        <v>670</v>
      </c>
    </row>
    <row r="273" spans="3:4" x14ac:dyDescent="0.25">
      <c r="C273" t="s">
        <v>154</v>
      </c>
      <c r="D273" t="s">
        <v>23</v>
      </c>
    </row>
    <row r="274" spans="3:4" x14ac:dyDescent="0.25">
      <c r="D274" t="s">
        <v>670</v>
      </c>
    </row>
    <row r="275" spans="3:4" x14ac:dyDescent="0.25">
      <c r="C275" t="s">
        <v>5</v>
      </c>
      <c r="D275" t="s">
        <v>24</v>
      </c>
    </row>
    <row r="276" spans="3:4" x14ac:dyDescent="0.25">
      <c r="D276" t="s">
        <v>34</v>
      </c>
    </row>
    <row r="277" spans="3:4" x14ac:dyDescent="0.25">
      <c r="C277" t="s">
        <v>6</v>
      </c>
      <c r="D277" t="s">
        <v>33</v>
      </c>
    </row>
    <row r="278" spans="3:4" x14ac:dyDescent="0.25">
      <c r="C278" t="s">
        <v>152</v>
      </c>
      <c r="D278" t="s">
        <v>669</v>
      </c>
    </row>
    <row r="279" spans="3:4" x14ac:dyDescent="0.25">
      <c r="C279" t="s">
        <v>95</v>
      </c>
      <c r="D279" t="s">
        <v>34</v>
      </c>
    </row>
    <row r="280" spans="3:4" x14ac:dyDescent="0.25">
      <c r="C280" t="s">
        <v>158</v>
      </c>
      <c r="D280" t="s">
        <v>58</v>
      </c>
    </row>
    <row r="281" spans="3:4" x14ac:dyDescent="0.25">
      <c r="D281" t="s">
        <v>34</v>
      </c>
    </row>
    <row r="282" spans="3:4" x14ac:dyDescent="0.25">
      <c r="D282" t="s">
        <v>669</v>
      </c>
    </row>
    <row r="283" spans="3:4" x14ac:dyDescent="0.25">
      <c r="C283" t="s">
        <v>170</v>
      </c>
      <c r="D283" t="s">
        <v>24</v>
      </c>
    </row>
    <row r="284" spans="3:4" x14ac:dyDescent="0.25">
      <c r="C284" t="s">
        <v>167</v>
      </c>
      <c r="D284" t="s">
        <v>24</v>
      </c>
    </row>
    <row r="285" spans="3:4" x14ac:dyDescent="0.25">
      <c r="D285" t="s">
        <v>33</v>
      </c>
    </row>
    <row r="286" spans="3:4" x14ac:dyDescent="0.25">
      <c r="D286" t="s">
        <v>670</v>
      </c>
    </row>
    <row r="287" spans="3:4" x14ac:dyDescent="0.25">
      <c r="C287" t="s">
        <v>172</v>
      </c>
      <c r="D287" t="s">
        <v>33</v>
      </c>
    </row>
    <row r="288" spans="3:4" x14ac:dyDescent="0.25">
      <c r="C288" t="s">
        <v>174</v>
      </c>
      <c r="D288" t="s">
        <v>34</v>
      </c>
    </row>
    <row r="289" spans="2:4" x14ac:dyDescent="0.25">
      <c r="C289" t="s">
        <v>176</v>
      </c>
      <c r="D289" t="s">
        <v>31</v>
      </c>
    </row>
    <row r="290" spans="2:4" x14ac:dyDescent="0.25">
      <c r="C290" t="s">
        <v>178</v>
      </c>
      <c r="D290" t="s">
        <v>34</v>
      </c>
    </row>
    <row r="291" spans="2:4" x14ac:dyDescent="0.25">
      <c r="C291" t="s">
        <v>180</v>
      </c>
      <c r="D291" t="s">
        <v>58</v>
      </c>
    </row>
    <row r="292" spans="2:4" x14ac:dyDescent="0.25">
      <c r="D292" t="s">
        <v>34</v>
      </c>
    </row>
    <row r="293" spans="2:4" x14ac:dyDescent="0.25">
      <c r="C293" t="s">
        <v>182</v>
      </c>
      <c r="D293" t="s">
        <v>34</v>
      </c>
    </row>
    <row r="294" spans="2:4" x14ac:dyDescent="0.25">
      <c r="C294" t="s">
        <v>99</v>
      </c>
      <c r="D294" t="s">
        <v>34</v>
      </c>
    </row>
    <row r="295" spans="2:4" x14ac:dyDescent="0.25">
      <c r="C295" t="s">
        <v>2</v>
      </c>
      <c r="D295" t="s">
        <v>668</v>
      </c>
    </row>
    <row r="296" spans="2:4" x14ac:dyDescent="0.25">
      <c r="C296" t="s">
        <v>184</v>
      </c>
      <c r="D296" t="s">
        <v>24</v>
      </c>
    </row>
    <row r="297" spans="2:4" x14ac:dyDescent="0.25">
      <c r="D297" t="s">
        <v>669</v>
      </c>
    </row>
    <row r="298" spans="2:4" x14ac:dyDescent="0.25">
      <c r="C298" t="s">
        <v>185</v>
      </c>
      <c r="D298" t="s">
        <v>34</v>
      </c>
    </row>
    <row r="299" spans="2:4" x14ac:dyDescent="0.25">
      <c r="C299" t="s">
        <v>189</v>
      </c>
      <c r="D299" t="s">
        <v>58</v>
      </c>
    </row>
    <row r="300" spans="2:4" x14ac:dyDescent="0.25">
      <c r="D300" t="s">
        <v>24</v>
      </c>
    </row>
    <row r="301" spans="2:4" x14ac:dyDescent="0.25">
      <c r="D301" t="s">
        <v>34</v>
      </c>
    </row>
    <row r="302" spans="2:4" x14ac:dyDescent="0.25">
      <c r="D302" t="s">
        <v>670</v>
      </c>
    </row>
    <row r="303" spans="2:4" x14ac:dyDescent="0.25">
      <c r="B303" t="s">
        <v>211</v>
      </c>
      <c r="C303" t="s">
        <v>57</v>
      </c>
      <c r="D303" t="s">
        <v>228</v>
      </c>
    </row>
    <row r="304" spans="2:4" x14ac:dyDescent="0.25">
      <c r="C304" t="s">
        <v>106</v>
      </c>
      <c r="D304" t="s">
        <v>404</v>
      </c>
    </row>
    <row r="305" spans="1:4" x14ac:dyDescent="0.25">
      <c r="C305" t="s">
        <v>509</v>
      </c>
      <c r="D305" t="s">
        <v>428</v>
      </c>
    </row>
    <row r="306" spans="1:4" x14ac:dyDescent="0.25">
      <c r="C306" t="s">
        <v>497</v>
      </c>
      <c r="D306" t="s">
        <v>401</v>
      </c>
    </row>
    <row r="307" spans="1:4" x14ac:dyDescent="0.25">
      <c r="D307" t="s">
        <v>403</v>
      </c>
    </row>
    <row r="308" spans="1:4" x14ac:dyDescent="0.25">
      <c r="D308" t="s">
        <v>228</v>
      </c>
    </row>
    <row r="309" spans="1:4" x14ac:dyDescent="0.25">
      <c r="C309" t="s">
        <v>507</v>
      </c>
      <c r="D309" t="s">
        <v>228</v>
      </c>
    </row>
    <row r="310" spans="1:4" x14ac:dyDescent="0.25">
      <c r="C310" t="s">
        <v>6</v>
      </c>
      <c r="D310" t="s">
        <v>471</v>
      </c>
    </row>
    <row r="311" spans="1:4" x14ac:dyDescent="0.25">
      <c r="C311" t="s">
        <v>158</v>
      </c>
      <c r="D311" t="s">
        <v>479</v>
      </c>
    </row>
    <row r="312" spans="1:4" x14ac:dyDescent="0.25">
      <c r="D312" t="s">
        <v>262</v>
      </c>
    </row>
    <row r="313" spans="1:4" x14ac:dyDescent="0.25">
      <c r="C313" t="s">
        <v>515</v>
      </c>
      <c r="D313" t="s">
        <v>428</v>
      </c>
    </row>
    <row r="314" spans="1:4" x14ac:dyDescent="0.25">
      <c r="C314" t="s">
        <v>462</v>
      </c>
      <c r="D314" t="s">
        <v>369</v>
      </c>
    </row>
    <row r="315" spans="1:4" x14ac:dyDescent="0.25">
      <c r="D315" t="s">
        <v>482</v>
      </c>
    </row>
    <row r="316" spans="1:4" x14ac:dyDescent="0.25">
      <c r="D316" t="s">
        <v>401</v>
      </c>
    </row>
    <row r="317" spans="1:4" x14ac:dyDescent="0.25">
      <c r="C317" t="s">
        <v>495</v>
      </c>
      <c r="D317" t="s">
        <v>489</v>
      </c>
    </row>
    <row r="318" spans="1:4" x14ac:dyDescent="0.25">
      <c r="C318" t="s">
        <v>184</v>
      </c>
      <c r="D318" t="s">
        <v>479</v>
      </c>
    </row>
    <row r="319" spans="1:4" x14ac:dyDescent="0.25">
      <c r="D319" t="s">
        <v>402</v>
      </c>
    </row>
    <row r="320" spans="1:4" x14ac:dyDescent="0.25">
      <c r="A320" t="s">
        <v>44</v>
      </c>
      <c r="B320" t="s">
        <v>208</v>
      </c>
      <c r="C320" t="s">
        <v>280</v>
      </c>
      <c r="D320" t="s">
        <v>240</v>
      </c>
    </row>
    <row r="321" spans="3:4" x14ac:dyDescent="0.25">
      <c r="D321" t="s">
        <v>248</v>
      </c>
    </row>
    <row r="322" spans="3:4" x14ac:dyDescent="0.25">
      <c r="C322" t="s">
        <v>319</v>
      </c>
      <c r="D322" t="s">
        <v>260</v>
      </c>
    </row>
    <row r="323" spans="3:4" x14ac:dyDescent="0.25">
      <c r="C323" t="s">
        <v>278</v>
      </c>
      <c r="D323" t="s">
        <v>240</v>
      </c>
    </row>
    <row r="324" spans="3:4" x14ac:dyDescent="0.25">
      <c r="D324" t="s">
        <v>245</v>
      </c>
    </row>
    <row r="325" spans="3:4" x14ac:dyDescent="0.25">
      <c r="D325" t="s">
        <v>248</v>
      </c>
    </row>
    <row r="326" spans="3:4" x14ac:dyDescent="0.25">
      <c r="D326" t="s">
        <v>257</v>
      </c>
    </row>
    <row r="327" spans="3:4" x14ac:dyDescent="0.25">
      <c r="C327" t="s">
        <v>284</v>
      </c>
      <c r="D327" t="s">
        <v>242</v>
      </c>
    </row>
    <row r="328" spans="3:4" x14ac:dyDescent="0.25">
      <c r="D328" t="s">
        <v>248</v>
      </c>
    </row>
    <row r="329" spans="3:4" x14ac:dyDescent="0.25">
      <c r="C329" t="s">
        <v>274</v>
      </c>
      <c r="D329" t="s">
        <v>239</v>
      </c>
    </row>
    <row r="330" spans="3:4" x14ac:dyDescent="0.25">
      <c r="D330" t="s">
        <v>240</v>
      </c>
    </row>
    <row r="331" spans="3:4" x14ac:dyDescent="0.25">
      <c r="D331" t="s">
        <v>245</v>
      </c>
    </row>
    <row r="332" spans="3:4" x14ac:dyDescent="0.25">
      <c r="D332" t="s">
        <v>248</v>
      </c>
    </row>
    <row r="333" spans="3:4" x14ac:dyDescent="0.25">
      <c r="D333" t="s">
        <v>257</v>
      </c>
    </row>
    <row r="334" spans="3:4" x14ac:dyDescent="0.25">
      <c r="D334" t="s">
        <v>260</v>
      </c>
    </row>
    <row r="335" spans="3:4" x14ac:dyDescent="0.25">
      <c r="D335" t="s">
        <v>263</v>
      </c>
    </row>
    <row r="336" spans="3:4" x14ac:dyDescent="0.25">
      <c r="D336" t="s">
        <v>264</v>
      </c>
    </row>
    <row r="337" spans="2:4" x14ac:dyDescent="0.25">
      <c r="D337" t="s">
        <v>265</v>
      </c>
    </row>
    <row r="338" spans="2:4" x14ac:dyDescent="0.25">
      <c r="D338" t="s">
        <v>266</v>
      </c>
    </row>
    <row r="339" spans="2:4" x14ac:dyDescent="0.25">
      <c r="D339" t="s">
        <v>267</v>
      </c>
    </row>
    <row r="340" spans="2:4" x14ac:dyDescent="0.25">
      <c r="D340" t="s">
        <v>268</v>
      </c>
    </row>
    <row r="341" spans="2:4" x14ac:dyDescent="0.25">
      <c r="D341" t="s">
        <v>269</v>
      </c>
    </row>
    <row r="342" spans="2:4" x14ac:dyDescent="0.25">
      <c r="D342" t="s">
        <v>270</v>
      </c>
    </row>
    <row r="343" spans="2:4" x14ac:dyDescent="0.25">
      <c r="C343" t="s">
        <v>298</v>
      </c>
      <c r="D343" t="s">
        <v>240</v>
      </c>
    </row>
    <row r="344" spans="2:4" x14ac:dyDescent="0.25">
      <c r="D344" t="s">
        <v>245</v>
      </c>
    </row>
    <row r="345" spans="2:4" x14ac:dyDescent="0.25">
      <c r="C345" t="s">
        <v>675</v>
      </c>
      <c r="D345" t="s">
        <v>267</v>
      </c>
    </row>
    <row r="346" spans="2:4" x14ac:dyDescent="0.25">
      <c r="B346" t="s">
        <v>207</v>
      </c>
      <c r="C346" t="s">
        <v>273</v>
      </c>
      <c r="D346" t="s">
        <v>222</v>
      </c>
    </row>
    <row r="347" spans="2:4" x14ac:dyDescent="0.25">
      <c r="C347" t="s">
        <v>231</v>
      </c>
      <c r="D347" t="s">
        <v>222</v>
      </c>
    </row>
    <row r="348" spans="2:4" x14ac:dyDescent="0.25">
      <c r="C348" t="s">
        <v>572</v>
      </c>
      <c r="D348" t="s">
        <v>348</v>
      </c>
    </row>
    <row r="349" spans="2:4" x14ac:dyDescent="0.25">
      <c r="D349" t="s">
        <v>574</v>
      </c>
    </row>
    <row r="350" spans="2:4" x14ac:dyDescent="0.25">
      <c r="C350" t="s">
        <v>575</v>
      </c>
      <c r="D350" t="s">
        <v>348</v>
      </c>
    </row>
    <row r="351" spans="2:4" x14ac:dyDescent="0.25">
      <c r="C351" t="s">
        <v>578</v>
      </c>
      <c r="D351" t="s">
        <v>348</v>
      </c>
    </row>
    <row r="352" spans="2:4" x14ac:dyDescent="0.25">
      <c r="D352" t="s">
        <v>574</v>
      </c>
    </row>
    <row r="353" spans="2:4" x14ac:dyDescent="0.25">
      <c r="B353" t="s">
        <v>206</v>
      </c>
      <c r="C353" t="s">
        <v>64</v>
      </c>
      <c r="D353" t="s">
        <v>33</v>
      </c>
    </row>
    <row r="354" spans="2:4" x14ac:dyDescent="0.25">
      <c r="C354" t="s">
        <v>123</v>
      </c>
      <c r="D354" t="s">
        <v>33</v>
      </c>
    </row>
    <row r="355" spans="2:4" x14ac:dyDescent="0.25">
      <c r="C355" t="s">
        <v>9</v>
      </c>
      <c r="D355" t="s">
        <v>23</v>
      </c>
    </row>
    <row r="356" spans="2:4" x14ac:dyDescent="0.25">
      <c r="C356" t="s">
        <v>146</v>
      </c>
      <c r="D356" t="s">
        <v>33</v>
      </c>
    </row>
    <row r="357" spans="2:4" x14ac:dyDescent="0.25">
      <c r="C357" t="s">
        <v>76</v>
      </c>
      <c r="D357" t="s">
        <v>24</v>
      </c>
    </row>
    <row r="358" spans="2:4" x14ac:dyDescent="0.25">
      <c r="C358" t="s">
        <v>649</v>
      </c>
      <c r="D358" t="s">
        <v>33</v>
      </c>
    </row>
    <row r="359" spans="2:4" x14ac:dyDescent="0.25">
      <c r="B359" t="s">
        <v>211</v>
      </c>
      <c r="C359" t="s">
        <v>521</v>
      </c>
      <c r="D359" t="s">
        <v>349</v>
      </c>
    </row>
    <row r="360" spans="2:4" x14ac:dyDescent="0.25">
      <c r="C360" t="s">
        <v>493</v>
      </c>
      <c r="D360" t="s">
        <v>426</v>
      </c>
    </row>
    <row r="361" spans="2:4" x14ac:dyDescent="0.25">
      <c r="C361" t="s">
        <v>517</v>
      </c>
      <c r="D361" t="s">
        <v>428</v>
      </c>
    </row>
    <row r="362" spans="2:4" x14ac:dyDescent="0.25">
      <c r="C362" t="s">
        <v>505</v>
      </c>
      <c r="D362" t="s">
        <v>228</v>
      </c>
    </row>
    <row r="363" spans="2:4" x14ac:dyDescent="0.25">
      <c r="C363" t="s">
        <v>580</v>
      </c>
      <c r="D363" t="s">
        <v>370</v>
      </c>
    </row>
    <row r="364" spans="2:4" x14ac:dyDescent="0.25">
      <c r="D364" t="s">
        <v>371</v>
      </c>
    </row>
    <row r="365" spans="2:4" x14ac:dyDescent="0.25">
      <c r="D365" t="s">
        <v>352</v>
      </c>
    </row>
    <row r="366" spans="2:4" x14ac:dyDescent="0.25">
      <c r="D366" t="s">
        <v>357</v>
      </c>
    </row>
    <row r="367" spans="2:4" x14ac:dyDescent="0.25">
      <c r="D367" t="s">
        <v>393</v>
      </c>
    </row>
    <row r="368" spans="2:4" x14ac:dyDescent="0.25">
      <c r="D368" t="s">
        <v>364</v>
      </c>
    </row>
    <row r="369" spans="1:4" x14ac:dyDescent="0.25">
      <c r="D369" t="s">
        <v>582</v>
      </c>
    </row>
    <row r="370" spans="1:4" x14ac:dyDescent="0.25">
      <c r="C370" t="s">
        <v>583</v>
      </c>
      <c r="D370" t="s">
        <v>391</v>
      </c>
    </row>
    <row r="371" spans="1:4" x14ac:dyDescent="0.25">
      <c r="D371" t="s">
        <v>390</v>
      </c>
    </row>
    <row r="372" spans="1:4" x14ac:dyDescent="0.25">
      <c r="C372" t="s">
        <v>585</v>
      </c>
      <c r="D372" t="s">
        <v>482</v>
      </c>
    </row>
    <row r="373" spans="1:4" x14ac:dyDescent="0.25">
      <c r="C373" t="s">
        <v>587</v>
      </c>
      <c r="D373" t="s">
        <v>396</v>
      </c>
    </row>
    <row r="374" spans="1:4" x14ac:dyDescent="0.25">
      <c r="D374" t="s">
        <v>355</v>
      </c>
    </row>
    <row r="375" spans="1:4" x14ac:dyDescent="0.25">
      <c r="D375" t="s">
        <v>395</v>
      </c>
    </row>
    <row r="376" spans="1:4" x14ac:dyDescent="0.25">
      <c r="D376" t="s">
        <v>394</v>
      </c>
    </row>
    <row r="377" spans="1:4" x14ac:dyDescent="0.25">
      <c r="A377" t="s">
        <v>45</v>
      </c>
      <c r="B377" t="s">
        <v>208</v>
      </c>
      <c r="C377" t="s">
        <v>329</v>
      </c>
      <c r="D377" t="s">
        <v>263</v>
      </c>
    </row>
    <row r="378" spans="1:4" x14ac:dyDescent="0.25">
      <c r="C378" t="s">
        <v>327</v>
      </c>
      <c r="D378" t="s">
        <v>263</v>
      </c>
    </row>
    <row r="379" spans="1:4" x14ac:dyDescent="0.25">
      <c r="D379" t="s">
        <v>265</v>
      </c>
    </row>
    <row r="380" spans="1:4" x14ac:dyDescent="0.25">
      <c r="C380" t="s">
        <v>292</v>
      </c>
      <c r="D380" t="s">
        <v>244</v>
      </c>
    </row>
    <row r="381" spans="1:4" x14ac:dyDescent="0.25">
      <c r="C381" t="s">
        <v>553</v>
      </c>
      <c r="D381" t="s">
        <v>260</v>
      </c>
    </row>
    <row r="382" spans="1:4" x14ac:dyDescent="0.25">
      <c r="D382" t="s">
        <v>266</v>
      </c>
    </row>
    <row r="383" spans="1:4" x14ac:dyDescent="0.25">
      <c r="C383" t="s">
        <v>338</v>
      </c>
      <c r="D383" t="s">
        <v>265</v>
      </c>
    </row>
    <row r="384" spans="1:4" x14ac:dyDescent="0.25">
      <c r="C384" t="s">
        <v>558</v>
      </c>
      <c r="D384" t="s">
        <v>270</v>
      </c>
    </row>
    <row r="385" spans="2:4" x14ac:dyDescent="0.25">
      <c r="C385" t="s">
        <v>325</v>
      </c>
      <c r="D385" t="s">
        <v>263</v>
      </c>
    </row>
    <row r="386" spans="2:4" x14ac:dyDescent="0.25">
      <c r="D386" t="s">
        <v>265</v>
      </c>
    </row>
    <row r="387" spans="2:4" x14ac:dyDescent="0.25">
      <c r="D387" t="s">
        <v>267</v>
      </c>
    </row>
    <row r="388" spans="2:4" x14ac:dyDescent="0.25">
      <c r="D388" t="s">
        <v>268</v>
      </c>
    </row>
    <row r="389" spans="2:4" x14ac:dyDescent="0.25">
      <c r="C389" t="s">
        <v>596</v>
      </c>
      <c r="D389" t="s">
        <v>267</v>
      </c>
    </row>
    <row r="390" spans="2:4" x14ac:dyDescent="0.25">
      <c r="C390" t="s">
        <v>598</v>
      </c>
      <c r="D390" t="s">
        <v>263</v>
      </c>
    </row>
    <row r="391" spans="2:4" x14ac:dyDescent="0.25">
      <c r="D391" t="s">
        <v>265</v>
      </c>
    </row>
    <row r="392" spans="2:4" x14ac:dyDescent="0.25">
      <c r="D392" t="s">
        <v>267</v>
      </c>
    </row>
    <row r="393" spans="2:4" x14ac:dyDescent="0.25">
      <c r="D393" t="s">
        <v>268</v>
      </c>
    </row>
    <row r="394" spans="2:4" x14ac:dyDescent="0.25">
      <c r="B394" t="s">
        <v>207</v>
      </c>
      <c r="C394" t="s">
        <v>594</v>
      </c>
      <c r="D394" t="s">
        <v>431</v>
      </c>
    </row>
    <row r="395" spans="2:4" x14ac:dyDescent="0.25">
      <c r="C395" t="s">
        <v>229</v>
      </c>
      <c r="D395" t="s">
        <v>228</v>
      </c>
    </row>
    <row r="396" spans="2:4" x14ac:dyDescent="0.25">
      <c r="C396" t="s">
        <v>679</v>
      </c>
      <c r="D396" t="s">
        <v>222</v>
      </c>
    </row>
    <row r="397" spans="2:4" x14ac:dyDescent="0.25">
      <c r="C397" t="s">
        <v>681</v>
      </c>
      <c r="D397" t="s">
        <v>222</v>
      </c>
    </row>
    <row r="398" spans="2:4" x14ac:dyDescent="0.25">
      <c r="B398" t="s">
        <v>206</v>
      </c>
      <c r="C398" t="s">
        <v>553</v>
      </c>
      <c r="D398" t="s">
        <v>31</v>
      </c>
    </row>
    <row r="399" spans="2:4" x14ac:dyDescent="0.25">
      <c r="C399" t="s">
        <v>592</v>
      </c>
      <c r="D399" t="s">
        <v>606</v>
      </c>
    </row>
    <row r="400" spans="2:4" x14ac:dyDescent="0.25">
      <c r="B400" t="s">
        <v>211</v>
      </c>
      <c r="C400" t="s">
        <v>513</v>
      </c>
      <c r="D400" t="s">
        <v>428</v>
      </c>
    </row>
    <row r="401" spans="1:4" x14ac:dyDescent="0.25">
      <c r="C401" t="s">
        <v>602</v>
      </c>
      <c r="D401" t="s">
        <v>401</v>
      </c>
    </row>
    <row r="402" spans="1:4" x14ac:dyDescent="0.25">
      <c r="D402" t="s">
        <v>402</v>
      </c>
    </row>
    <row r="403" spans="1:4" x14ac:dyDescent="0.25">
      <c r="C403" t="s">
        <v>600</v>
      </c>
      <c r="D403" t="s">
        <v>396</v>
      </c>
    </row>
    <row r="404" spans="1:4" x14ac:dyDescent="0.25">
      <c r="C404" t="s">
        <v>604</v>
      </c>
      <c r="D404" t="s">
        <v>402</v>
      </c>
    </row>
    <row r="405" spans="1:4" x14ac:dyDescent="0.25">
      <c r="D405" t="s">
        <v>404</v>
      </c>
    </row>
    <row r="406" spans="1:4" x14ac:dyDescent="0.25">
      <c r="C406" t="s">
        <v>625</v>
      </c>
      <c r="D406" t="s">
        <v>396</v>
      </c>
    </row>
    <row r="407" spans="1:4" x14ac:dyDescent="0.25">
      <c r="A407" t="s">
        <v>49</v>
      </c>
      <c r="B407" t="s">
        <v>211</v>
      </c>
      <c r="C407" t="s">
        <v>511</v>
      </c>
      <c r="D407" t="s">
        <v>428</v>
      </c>
    </row>
    <row r="408" spans="1:4" x14ac:dyDescent="0.25">
      <c r="A408" t="s">
        <v>50</v>
      </c>
      <c r="B408" t="s">
        <v>207</v>
      </c>
      <c r="C408" t="s">
        <v>213</v>
      </c>
      <c r="D408" t="s">
        <v>23</v>
      </c>
    </row>
    <row r="409" spans="1:4" x14ac:dyDescent="0.25">
      <c r="C409" t="s">
        <v>209</v>
      </c>
      <c r="D409" t="s">
        <v>23</v>
      </c>
    </row>
    <row r="410" spans="1:4" x14ac:dyDescent="0.25">
      <c r="D410" t="s">
        <v>24</v>
      </c>
    </row>
    <row r="411" spans="1:4" x14ac:dyDescent="0.25">
      <c r="D411" t="s">
        <v>33</v>
      </c>
    </row>
    <row r="412" spans="1:4" x14ac:dyDescent="0.25">
      <c r="C412" t="s">
        <v>215</v>
      </c>
      <c r="D412" t="s">
        <v>23</v>
      </c>
    </row>
    <row r="413" spans="1:4" x14ac:dyDescent="0.25">
      <c r="C413" t="s">
        <v>0</v>
      </c>
      <c r="D413" t="s">
        <v>23</v>
      </c>
    </row>
    <row r="414" spans="1:4" x14ac:dyDescent="0.25">
      <c r="C414" t="s">
        <v>212</v>
      </c>
      <c r="D414" t="s">
        <v>23</v>
      </c>
    </row>
    <row r="415" spans="1:4" x14ac:dyDescent="0.25">
      <c r="D415" t="s">
        <v>24</v>
      </c>
    </row>
    <row r="416" spans="1:4" x14ac:dyDescent="0.25">
      <c r="C416" t="s">
        <v>217</v>
      </c>
      <c r="D416" t="s">
        <v>23</v>
      </c>
    </row>
    <row r="417" spans="2:4" x14ac:dyDescent="0.25">
      <c r="D417" t="s">
        <v>24</v>
      </c>
    </row>
    <row r="418" spans="2:4" x14ac:dyDescent="0.25">
      <c r="D418" t="s">
        <v>33</v>
      </c>
    </row>
    <row r="419" spans="2:4" x14ac:dyDescent="0.25">
      <c r="C419" t="s">
        <v>220</v>
      </c>
      <c r="D419" t="s">
        <v>24</v>
      </c>
    </row>
    <row r="420" spans="2:4" x14ac:dyDescent="0.25">
      <c r="B420" t="s">
        <v>206</v>
      </c>
      <c r="C420" t="s">
        <v>65</v>
      </c>
      <c r="D420" t="s">
        <v>23</v>
      </c>
    </row>
    <row r="421" spans="2:4" x14ac:dyDescent="0.25">
      <c r="C421" t="s">
        <v>97</v>
      </c>
      <c r="D421" t="s">
        <v>23</v>
      </c>
    </row>
    <row r="422" spans="2:4" x14ac:dyDescent="0.25">
      <c r="C422" t="s">
        <v>55</v>
      </c>
      <c r="D422" t="s">
        <v>23</v>
      </c>
    </row>
    <row r="423" spans="2:4" x14ac:dyDescent="0.25">
      <c r="C423" t="s">
        <v>116</v>
      </c>
      <c r="D423" t="s">
        <v>665</v>
      </c>
    </row>
    <row r="424" spans="2:4" x14ac:dyDescent="0.25">
      <c r="C424" t="s">
        <v>130</v>
      </c>
      <c r="D424" t="s">
        <v>23</v>
      </c>
    </row>
    <row r="425" spans="2:4" x14ac:dyDescent="0.25">
      <c r="D425" t="s">
        <v>33</v>
      </c>
    </row>
    <row r="426" spans="2:4" x14ac:dyDescent="0.25">
      <c r="C426" t="s">
        <v>86</v>
      </c>
      <c r="D426" t="s">
        <v>23</v>
      </c>
    </row>
    <row r="427" spans="2:4" x14ac:dyDescent="0.25">
      <c r="C427" t="s">
        <v>88</v>
      </c>
      <c r="D427" t="s">
        <v>23</v>
      </c>
    </row>
    <row r="428" spans="2:4" x14ac:dyDescent="0.25">
      <c r="C428" t="s">
        <v>54</v>
      </c>
      <c r="D428" t="s">
        <v>24</v>
      </c>
    </row>
    <row r="429" spans="2:4" x14ac:dyDescent="0.25">
      <c r="C429" t="s">
        <v>72</v>
      </c>
      <c r="D429" t="s">
        <v>24</v>
      </c>
    </row>
    <row r="430" spans="2:4" x14ac:dyDescent="0.25">
      <c r="C430" t="s">
        <v>92</v>
      </c>
      <c r="D430" t="s">
        <v>23</v>
      </c>
    </row>
    <row r="431" spans="2:4" x14ac:dyDescent="0.25">
      <c r="C431" t="s">
        <v>74</v>
      </c>
      <c r="D431" t="s">
        <v>665</v>
      </c>
    </row>
    <row r="432" spans="2:4" x14ac:dyDescent="0.25">
      <c r="D432" t="s">
        <v>667</v>
      </c>
    </row>
    <row r="433" spans="2:4" x14ac:dyDescent="0.25">
      <c r="C433" t="s">
        <v>143</v>
      </c>
      <c r="D433" t="s">
        <v>665</v>
      </c>
    </row>
    <row r="434" spans="2:4" x14ac:dyDescent="0.25">
      <c r="C434" t="s">
        <v>145</v>
      </c>
      <c r="D434" t="s">
        <v>24</v>
      </c>
    </row>
    <row r="435" spans="2:4" x14ac:dyDescent="0.25">
      <c r="C435" t="s">
        <v>149</v>
      </c>
      <c r="D435" t="s">
        <v>23</v>
      </c>
    </row>
    <row r="436" spans="2:4" x14ac:dyDescent="0.25">
      <c r="C436" t="s">
        <v>150</v>
      </c>
      <c r="D436" t="s">
        <v>23</v>
      </c>
    </row>
    <row r="437" spans="2:4" x14ac:dyDescent="0.25">
      <c r="C437" t="s">
        <v>0</v>
      </c>
      <c r="D437" t="s">
        <v>23</v>
      </c>
    </row>
    <row r="438" spans="2:4" x14ac:dyDescent="0.25">
      <c r="D438" t="s">
        <v>33</v>
      </c>
    </row>
    <row r="439" spans="2:4" x14ac:dyDescent="0.25">
      <c r="C439" t="s">
        <v>161</v>
      </c>
      <c r="D439" t="s">
        <v>24</v>
      </c>
    </row>
    <row r="440" spans="2:4" x14ac:dyDescent="0.25">
      <c r="C440" t="s">
        <v>193</v>
      </c>
      <c r="D440" t="s">
        <v>24</v>
      </c>
    </row>
    <row r="441" spans="2:4" x14ac:dyDescent="0.25">
      <c r="C441" t="s">
        <v>219</v>
      </c>
      <c r="D441" t="s">
        <v>24</v>
      </c>
    </row>
    <row r="442" spans="2:4" x14ac:dyDescent="0.25">
      <c r="B442" t="s">
        <v>211</v>
      </c>
      <c r="C442" t="s">
        <v>65</v>
      </c>
      <c r="D442" t="s">
        <v>442</v>
      </c>
    </row>
    <row r="443" spans="2:4" x14ac:dyDescent="0.25">
      <c r="C443" t="s">
        <v>97</v>
      </c>
      <c r="D443" t="s">
        <v>442</v>
      </c>
    </row>
    <row r="444" spans="2:4" x14ac:dyDescent="0.25">
      <c r="C444" t="s">
        <v>55</v>
      </c>
      <c r="D444" t="s">
        <v>442</v>
      </c>
    </row>
    <row r="445" spans="2:4" x14ac:dyDescent="0.25">
      <c r="C445" t="s">
        <v>92</v>
      </c>
      <c r="D445" t="s">
        <v>442</v>
      </c>
    </row>
    <row r="446" spans="2:4" x14ac:dyDescent="0.25">
      <c r="C446" t="s">
        <v>522</v>
      </c>
      <c r="D446" t="s">
        <v>442</v>
      </c>
    </row>
    <row r="447" spans="2:4" x14ac:dyDescent="0.25">
      <c r="D447" t="s">
        <v>443</v>
      </c>
    </row>
    <row r="448" spans="2:4" x14ac:dyDescent="0.25">
      <c r="C448" t="s">
        <v>209</v>
      </c>
      <c r="D448" t="s">
        <v>362</v>
      </c>
    </row>
    <row r="449" spans="1:4" x14ac:dyDescent="0.25">
      <c r="C449" t="s">
        <v>532</v>
      </c>
      <c r="D449" t="s">
        <v>442</v>
      </c>
    </row>
    <row r="450" spans="1:4" x14ac:dyDescent="0.25">
      <c r="C450" t="s">
        <v>150</v>
      </c>
      <c r="D450" t="s">
        <v>362</v>
      </c>
    </row>
    <row r="451" spans="1:4" x14ac:dyDescent="0.25">
      <c r="C451" t="s">
        <v>472</v>
      </c>
      <c r="D451" t="s">
        <v>362</v>
      </c>
    </row>
    <row r="452" spans="1:4" x14ac:dyDescent="0.25">
      <c r="C452" t="s">
        <v>534</v>
      </c>
      <c r="D452" t="s">
        <v>442</v>
      </c>
    </row>
    <row r="453" spans="1:4" x14ac:dyDescent="0.25">
      <c r="C453" t="s">
        <v>0</v>
      </c>
      <c r="D453" t="s">
        <v>442</v>
      </c>
    </row>
    <row r="454" spans="1:4" x14ac:dyDescent="0.25">
      <c r="A454" t="s">
        <v>47</v>
      </c>
      <c r="B454" t="s">
        <v>211</v>
      </c>
      <c r="C454" t="s">
        <v>645</v>
      </c>
      <c r="D454" t="s">
        <v>442</v>
      </c>
    </row>
    <row r="455" spans="1:4" x14ac:dyDescent="0.25">
      <c r="A455" t="s">
        <v>560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Клиенты</vt:lpstr>
      <vt:lpstr>Контракты</vt:lpstr>
      <vt:lpstr>Продукты</vt:lpstr>
      <vt:lpstr>Списки</vt:lpstr>
      <vt:lpstr>Письмо</vt:lpstr>
      <vt:lpstr>Письмо2</vt:lpstr>
      <vt:lpstr>Инструкция</vt:lpstr>
      <vt:lpstr>Сводная</vt:lpstr>
      <vt:lpstr>БЕ</vt:lpstr>
      <vt:lpstr>Доставка</vt:lpstr>
      <vt:lpstr>Клиент</vt:lpstr>
      <vt:lpstr>Менеджеры</vt:lpstr>
      <vt:lpstr>Продукт</vt:lpstr>
      <vt:lpstr>Экспедитор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С. Пятков</dc:creator>
  <cp:lastModifiedBy>Александр С. Пятков</cp:lastModifiedBy>
  <dcterms:created xsi:type="dcterms:W3CDTF">2015-10-21T08:41:15Z</dcterms:created>
  <dcterms:modified xsi:type="dcterms:W3CDTF">2016-03-18T10:30:22Z</dcterms:modified>
</cp:coreProperties>
</file>